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suni\Documents\"/>
    </mc:Choice>
  </mc:AlternateContent>
  <xr:revisionPtr revIDLastSave="0" documentId="13_ncr:1_{EA3B582A-341A-4DD1-86ED-D5764BBAB6A9}" xr6:coauthVersionLast="47" xr6:coauthVersionMax="47" xr10:uidLastSave="{00000000-0000-0000-0000-000000000000}"/>
  <bookViews>
    <workbookView xWindow="-108" yWindow="-108" windowWidth="23256" windowHeight="12456" xr2:uid="{82D35BBC-C09F-40BC-8D07-146FDD57CFF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F7" i="1" s="1"/>
  <c r="B17" i="2"/>
  <c r="B9" i="2" s="1"/>
  <c r="B10" i="2" s="1"/>
  <c r="D7" i="2" a="1"/>
  <c r="D7" i="2" s="1"/>
  <c r="E6" i="1"/>
  <c r="D6" i="1" a="1"/>
  <c r="D6" i="1" s="1"/>
  <c r="E8" i="1" l="1"/>
  <c r="F6" i="1"/>
  <c r="E9" i="1" l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B11" i="1" s="1"/>
  <c r="F8" i="1"/>
  <c r="F9" i="1" l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E26" i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F26" i="1" l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B16" i="1"/>
  <c r="E7" i="2" s="1"/>
  <c r="G7" i="2" s="1"/>
  <c r="I7" i="2" s="1"/>
  <c r="B10" i="1"/>
  <c r="B7" i="2"/>
  <c r="F7" i="2"/>
  <c r="H7" i="2" l="1"/>
  <c r="E8" i="2" s="1"/>
  <c r="G8" i="2" s="1"/>
  <c r="I8" i="2" s="1"/>
  <c r="F8" i="2" l="1"/>
  <c r="H8" i="2" s="1"/>
  <c r="E9" i="2" l="1"/>
  <c r="F9" i="2" s="1"/>
  <c r="G9" i="2" l="1"/>
  <c r="I9" i="2" s="1"/>
  <c r="H9" i="2"/>
  <c r="E10" i="2" s="1"/>
  <c r="G10" i="2" l="1"/>
  <c r="I10" i="2" s="1"/>
  <c r="F10" i="2"/>
  <c r="H10" i="2" l="1"/>
  <c r="E11" i="2" s="1"/>
  <c r="F11" i="2" l="1"/>
  <c r="G11" i="2"/>
  <c r="I11" i="2" s="1"/>
  <c r="H11" i="2" l="1"/>
  <c r="E12" i="2" s="1"/>
  <c r="G12" i="2" l="1"/>
  <c r="I12" i="2" s="1"/>
  <c r="F12" i="2"/>
  <c r="H12" i="2" l="1"/>
  <c r="E13" i="2" s="1"/>
  <c r="G13" i="2" s="1"/>
  <c r="I13" i="2" s="1"/>
  <c r="F13" i="2" l="1"/>
  <c r="H13" i="2" s="1"/>
  <c r="E14" i="2" s="1"/>
  <c r="G14" i="2" l="1"/>
  <c r="I14" i="2" s="1"/>
  <c r="F14" i="2"/>
  <c r="H14" i="2" s="1"/>
  <c r="E15" i="2" s="1"/>
  <c r="F15" i="2" l="1"/>
  <c r="G15" i="2"/>
  <c r="I15" i="2" s="1"/>
  <c r="H15" i="2"/>
  <c r="E16" i="2" s="1"/>
  <c r="F16" i="2"/>
  <c r="G16" i="2"/>
  <c r="I16" i="2" s="1"/>
  <c r="H16" i="2" l="1"/>
  <c r="E17" i="2" s="1"/>
  <c r="G17" i="2" l="1"/>
  <c r="I17" i="2" s="1"/>
  <c r="F17" i="2"/>
  <c r="H17" i="2" l="1"/>
  <c r="E18" i="2" s="1"/>
  <c r="F18" i="2" s="1"/>
  <c r="G18" i="2"/>
  <c r="I18" i="2" s="1"/>
  <c r="H18" i="2" l="1"/>
  <c r="E19" i="2" s="1"/>
  <c r="G19" i="2" s="1"/>
  <c r="I19" i="2" s="1"/>
  <c r="F19" i="2"/>
  <c r="H19" i="2" s="1"/>
  <c r="E20" i="2" s="1"/>
  <c r="G20" i="2" l="1"/>
  <c r="I20" i="2" s="1"/>
  <c r="F20" i="2"/>
  <c r="H20" i="2" l="1"/>
  <c r="E21" i="2" s="1"/>
  <c r="F21" i="2" s="1"/>
  <c r="G21" i="2" l="1"/>
  <c r="I21" i="2" s="1"/>
  <c r="H21" i="2" l="1"/>
  <c r="E22" i="2" s="1"/>
  <c r="F22" i="2" l="1"/>
  <c r="G22" i="2"/>
  <c r="I22" i="2" s="1"/>
  <c r="H22" i="2" l="1"/>
  <c r="E23" i="2" s="1"/>
  <c r="F23" i="2" l="1"/>
  <c r="G23" i="2"/>
  <c r="I23" i="2" s="1"/>
  <c r="H23" i="2" l="1"/>
  <c r="E24" i="2" s="1"/>
  <c r="G24" i="2" l="1"/>
  <c r="I24" i="2" s="1"/>
  <c r="F24" i="2"/>
  <c r="H24" i="2" s="1"/>
  <c r="E25" i="2" s="1"/>
  <c r="F25" i="2" s="1"/>
  <c r="G25" i="2" l="1"/>
  <c r="I25" i="2" s="1"/>
  <c r="H25" i="2" l="1"/>
  <c r="E26" i="2" s="1"/>
  <c r="G26" i="2" l="1"/>
  <c r="I26" i="2" s="1"/>
  <c r="F26" i="2"/>
  <c r="H26" i="2" s="1"/>
  <c r="E27" i="2" s="1"/>
  <c r="F27" i="2" s="1"/>
  <c r="G27" i="2"/>
  <c r="I27" i="2" s="1"/>
  <c r="H27" i="2" l="1"/>
  <c r="E28" i="2" s="1"/>
  <c r="F28" i="2"/>
  <c r="G28" i="2"/>
  <c r="I28" i="2" s="1"/>
  <c r="H28" i="2" l="1"/>
  <c r="E29" i="2" s="1"/>
  <c r="F29" i="2" l="1"/>
  <c r="G29" i="2"/>
  <c r="I29" i="2" s="1"/>
  <c r="H29" i="2" l="1"/>
  <c r="E30" i="2" s="1"/>
  <c r="F30" i="2" s="1"/>
  <c r="G30" i="2" l="1"/>
  <c r="I30" i="2" s="1"/>
  <c r="H30" i="2" l="1"/>
  <c r="E31" i="2" s="1"/>
  <c r="G31" i="2" l="1"/>
  <c r="I31" i="2" s="1"/>
  <c r="F31" i="2"/>
  <c r="H31" i="2" s="1"/>
  <c r="E32" i="2" s="1"/>
  <c r="F32" i="2" l="1"/>
  <c r="G32" i="2"/>
  <c r="I32" i="2" s="1"/>
  <c r="H32" i="2" l="1"/>
  <c r="E33" i="2" s="1"/>
  <c r="F33" i="2" l="1"/>
  <c r="G33" i="2"/>
  <c r="I33" i="2" s="1"/>
  <c r="H33" i="2" l="1"/>
  <c r="E34" i="2" s="1"/>
  <c r="G34" i="2" l="1"/>
  <c r="I34" i="2" s="1"/>
  <c r="F34" i="2"/>
  <c r="H34" i="2" s="1"/>
  <c r="E35" i="2" s="1"/>
  <c r="F35" i="2" l="1"/>
  <c r="G35" i="2"/>
  <c r="I35" i="2" s="1"/>
  <c r="H35" i="2" l="1"/>
  <c r="E36" i="2" s="1"/>
  <c r="F36" i="2"/>
  <c r="G36" i="2"/>
  <c r="I36" i="2" s="1"/>
  <c r="H36" i="2" l="1"/>
  <c r="E37" i="2" s="1"/>
  <c r="G37" i="2" l="1"/>
  <c r="I37" i="2" s="1"/>
  <c r="F37" i="2"/>
  <c r="H37" i="2" s="1"/>
  <c r="E38" i="2" s="1"/>
  <c r="G38" i="2" l="1"/>
  <c r="I38" i="2" s="1"/>
  <c r="F38" i="2"/>
  <c r="H38" i="2" l="1"/>
  <c r="E39" i="2" s="1"/>
  <c r="F39" i="2"/>
  <c r="G39" i="2"/>
  <c r="I39" i="2" s="1"/>
  <c r="H39" i="2" l="1"/>
  <c r="E40" i="2" s="1"/>
  <c r="F40" i="2" l="1"/>
  <c r="G40" i="2"/>
  <c r="I40" i="2" s="1"/>
  <c r="H40" i="2" l="1"/>
  <c r="E41" i="2" s="1"/>
  <c r="G41" i="2"/>
  <c r="I41" i="2" s="1"/>
  <c r="F41" i="2"/>
  <c r="H41" i="2" l="1"/>
  <c r="E42" i="2" s="1"/>
  <c r="F42" i="2"/>
  <c r="G42" i="2"/>
  <c r="I42" i="2" s="1"/>
  <c r="H42" i="2" l="1"/>
  <c r="E43" i="2" s="1"/>
  <c r="F43" i="2" l="1"/>
  <c r="G43" i="2"/>
  <c r="I43" i="2" s="1"/>
  <c r="H43" i="2" l="1"/>
  <c r="E44" i="2" s="1"/>
  <c r="G44" i="2" s="1"/>
  <c r="I44" i="2" s="1"/>
  <c r="F44" i="2" l="1"/>
  <c r="H44" i="2" s="1"/>
  <c r="E45" i="2" s="1"/>
  <c r="G45" i="2" l="1"/>
  <c r="I45" i="2" s="1"/>
  <c r="F45" i="2"/>
  <c r="H45" i="2" l="1"/>
  <c r="E46" i="2" s="1"/>
  <c r="G46" i="2" l="1"/>
  <c r="I46" i="2" s="1"/>
  <c r="F46" i="2"/>
  <c r="H46" i="2" s="1"/>
  <c r="E47" i="2" s="1"/>
  <c r="F47" i="2" l="1"/>
  <c r="G47" i="2"/>
  <c r="I47" i="2" s="1"/>
  <c r="H47" i="2" l="1"/>
  <c r="E48" i="2" s="1"/>
  <c r="G48" i="2" l="1"/>
  <c r="I48" i="2" s="1"/>
  <c r="F48" i="2"/>
  <c r="H48" i="2" s="1"/>
  <c r="E49" i="2" s="1"/>
  <c r="G49" i="2" l="1"/>
  <c r="I49" i="2" s="1"/>
  <c r="F49" i="2"/>
  <c r="H49" i="2" s="1"/>
  <c r="E50" i="2" s="1"/>
  <c r="G50" i="2" l="1"/>
  <c r="I50" i="2" s="1"/>
  <c r="F50" i="2"/>
  <c r="H50" i="2" l="1"/>
  <c r="E51" i="2" s="1"/>
  <c r="G51" i="2"/>
  <c r="I51" i="2" s="1"/>
  <c r="F51" i="2"/>
  <c r="H51" i="2" l="1"/>
  <c r="E52" i="2" s="1"/>
  <c r="G52" i="2"/>
  <c r="I52" i="2" s="1"/>
  <c r="F52" i="2"/>
  <c r="H52" i="2" s="1"/>
  <c r="E53" i="2" s="1"/>
  <c r="F53" i="2" l="1"/>
  <c r="G53" i="2"/>
  <c r="I53" i="2" s="1"/>
  <c r="H53" i="2"/>
  <c r="E54" i="2" s="1"/>
  <c r="F54" i="2" s="1"/>
  <c r="G54" i="2" l="1"/>
  <c r="I54" i="2" s="1"/>
  <c r="H54" i="2"/>
  <c r="E55" i="2" s="1"/>
  <c r="G55" i="2" s="1"/>
  <c r="I55" i="2" s="1"/>
  <c r="F55" i="2"/>
  <c r="H55" i="2" l="1"/>
  <c r="E56" i="2" s="1"/>
  <c r="G56" i="2"/>
  <c r="I56" i="2" s="1"/>
  <c r="F56" i="2"/>
  <c r="H56" i="2" s="1"/>
  <c r="E57" i="2" s="1"/>
  <c r="G57" i="2" l="1"/>
  <c r="I57" i="2" s="1"/>
  <c r="F57" i="2"/>
  <c r="H57" i="2" l="1"/>
  <c r="E58" i="2" s="1"/>
  <c r="G58" i="2"/>
  <c r="I58" i="2" s="1"/>
  <c r="F58" i="2"/>
  <c r="H58" i="2" l="1"/>
  <c r="E59" i="2" s="1"/>
  <c r="F59" i="2"/>
  <c r="G59" i="2"/>
  <c r="I59" i="2" s="1"/>
  <c r="H59" i="2" l="1"/>
  <c r="E60" i="2" s="1"/>
  <c r="G60" i="2" l="1"/>
  <c r="I60" i="2" s="1"/>
  <c r="F60" i="2"/>
  <c r="H60" i="2" l="1"/>
  <c r="E61" i="2" s="1"/>
  <c r="F61" i="2"/>
  <c r="G61" i="2"/>
  <c r="I61" i="2" s="1"/>
  <c r="H61" i="2" l="1"/>
  <c r="E62" i="2" s="1"/>
  <c r="G62" i="2" l="1"/>
  <c r="I62" i="2" s="1"/>
  <c r="F62" i="2"/>
  <c r="H62" i="2" l="1"/>
  <c r="E63" i="2" s="1"/>
  <c r="F63" i="2" l="1"/>
  <c r="G63" i="2"/>
  <c r="I63" i="2" s="1"/>
  <c r="H63" i="2" l="1"/>
  <c r="E64" i="2" s="1"/>
  <c r="F64" i="2" l="1"/>
  <c r="G64" i="2"/>
  <c r="I64" i="2" s="1"/>
  <c r="H64" i="2" l="1"/>
  <c r="E65" i="2" s="1"/>
  <c r="G65" i="2" l="1"/>
  <c r="I65" i="2" s="1"/>
  <c r="F65" i="2"/>
  <c r="H65" i="2" l="1"/>
  <c r="E66" i="2" s="1"/>
  <c r="F66" i="2" s="1"/>
  <c r="G66" i="2" l="1"/>
  <c r="I66" i="2" s="1"/>
  <c r="H66" i="2"/>
  <c r="E67" i="2" s="1"/>
  <c r="G67" i="2" s="1"/>
  <c r="I67" i="2" s="1"/>
  <c r="F67" i="2" l="1"/>
  <c r="H67" i="2"/>
  <c r="E68" i="2" s="1"/>
  <c r="F68" i="2"/>
  <c r="G68" i="2"/>
  <c r="I68" i="2" s="1"/>
  <c r="H68" i="2" l="1"/>
  <c r="E69" i="2" s="1"/>
  <c r="F69" i="2" s="1"/>
  <c r="G69" i="2" l="1"/>
  <c r="I69" i="2" s="1"/>
  <c r="H69" i="2" l="1"/>
  <c r="E70" i="2" s="1"/>
  <c r="G70" i="2"/>
  <c r="I70" i="2" s="1"/>
  <c r="F70" i="2"/>
  <c r="H70" i="2" l="1"/>
  <c r="E71" i="2" s="1"/>
  <c r="F71" i="2" s="1"/>
  <c r="G71" i="2" l="1"/>
  <c r="I71" i="2" s="1"/>
  <c r="H71" i="2" l="1"/>
  <c r="E72" i="2" s="1"/>
  <c r="F72" i="2" s="1"/>
  <c r="G72" i="2" l="1"/>
  <c r="I72" i="2" s="1"/>
  <c r="H72" i="2" l="1"/>
  <c r="E73" i="2" s="1"/>
  <c r="G73" i="2"/>
  <c r="I73" i="2" s="1"/>
  <c r="F73" i="2"/>
  <c r="H73" i="2" s="1"/>
  <c r="E74" i="2" s="1"/>
  <c r="G74" i="2" l="1"/>
  <c r="I74" i="2" s="1"/>
  <c r="F74" i="2"/>
  <c r="H74" i="2" l="1"/>
  <c r="E75" i="2" s="1"/>
  <c r="G75" i="2" s="1"/>
  <c r="I75" i="2" s="1"/>
  <c r="F75" i="2" l="1"/>
  <c r="H75" i="2"/>
  <c r="E76" i="2" s="1"/>
  <c r="F76" i="2" s="1"/>
  <c r="G76" i="2"/>
  <c r="I76" i="2" s="1"/>
  <c r="H76" i="2" l="1"/>
  <c r="E77" i="2" s="1"/>
  <c r="F77" i="2" l="1"/>
  <c r="G77" i="2"/>
  <c r="H77" i="2" l="1"/>
  <c r="E78" i="2" s="1"/>
  <c r="I77" i="2"/>
  <c r="F78" i="2" l="1"/>
  <c r="G78" i="2"/>
  <c r="I78" i="2" s="1"/>
  <c r="H78" i="2" l="1"/>
  <c r="E79" i="2" s="1"/>
  <c r="F79" i="2"/>
  <c r="G79" i="2"/>
  <c r="I79" i="2" s="1"/>
  <c r="H79" i="2" l="1"/>
  <c r="E80" i="2" s="1"/>
  <c r="G80" i="2" s="1"/>
  <c r="I80" i="2" s="1"/>
  <c r="F80" i="2" l="1"/>
  <c r="H80" i="2" s="1"/>
  <c r="E81" i="2" s="1"/>
  <c r="G81" i="2" s="1"/>
  <c r="I81" i="2" s="1"/>
  <c r="F81" i="2" l="1"/>
  <c r="H81" i="2" s="1"/>
  <c r="E82" i="2" s="1"/>
  <c r="G82" i="2" s="1"/>
  <c r="I82" i="2" s="1"/>
  <c r="F82" i="2" l="1"/>
  <c r="H82" i="2" s="1"/>
  <c r="E83" i="2" s="1"/>
  <c r="F83" i="2" s="1"/>
  <c r="G83" i="2" l="1"/>
  <c r="I83" i="2" s="1"/>
  <c r="H83" i="2" l="1"/>
  <c r="E84" i="2" s="1"/>
  <c r="F84" i="2"/>
  <c r="G84" i="2"/>
  <c r="I84" i="2" s="1"/>
  <c r="H84" i="2" l="1"/>
  <c r="E85" i="2" s="1"/>
  <c r="G85" i="2" l="1"/>
  <c r="I85" i="2" s="1"/>
  <c r="F85" i="2"/>
  <c r="H85" i="2" l="1"/>
  <c r="E86" i="2" s="1"/>
  <c r="G86" i="2" s="1"/>
  <c r="I86" i="2" s="1"/>
  <c r="F86" i="2"/>
  <c r="H86" i="2" l="1"/>
  <c r="E87" i="2" s="1"/>
  <c r="F87" i="2" s="1"/>
  <c r="G87" i="2" l="1"/>
  <c r="I87" i="2" s="1"/>
  <c r="H87" i="2" l="1"/>
  <c r="E88" i="2" s="1"/>
  <c r="F88" i="2"/>
  <c r="G88" i="2"/>
  <c r="I88" i="2" s="1"/>
  <c r="H88" i="2" l="1"/>
  <c r="E89" i="2" s="1"/>
  <c r="G89" i="2" l="1"/>
  <c r="I89" i="2" s="1"/>
  <c r="F89" i="2"/>
  <c r="H89" i="2" s="1"/>
  <c r="E90" i="2" s="1"/>
  <c r="F90" i="2" l="1"/>
  <c r="G90" i="2"/>
  <c r="I90" i="2" s="1"/>
  <c r="H90" i="2" l="1"/>
  <c r="E91" i="2" s="1"/>
  <c r="G91" i="2" l="1"/>
  <c r="I91" i="2" s="1"/>
  <c r="F91" i="2"/>
  <c r="H91" i="2" s="1"/>
  <c r="E92" i="2" s="1"/>
  <c r="F92" i="2" l="1"/>
  <c r="G92" i="2"/>
  <c r="I92" i="2" s="1"/>
  <c r="H92" i="2" l="1"/>
  <c r="E93" i="2" s="1"/>
  <c r="G93" i="2"/>
  <c r="I93" i="2" s="1"/>
  <c r="F93" i="2"/>
  <c r="H93" i="2" l="1"/>
  <c r="E94" i="2" s="1"/>
  <c r="F94" i="2"/>
  <c r="G94" i="2"/>
  <c r="I94" i="2" s="1"/>
  <c r="H94" i="2" l="1"/>
  <c r="E95" i="2" s="1"/>
  <c r="F95" i="2" l="1"/>
  <c r="G95" i="2"/>
  <c r="I95" i="2" s="1"/>
  <c r="H95" i="2" l="1"/>
  <c r="E96" i="2" s="1"/>
  <c r="F96" i="2" l="1"/>
  <c r="G96" i="2"/>
  <c r="I96" i="2" s="1"/>
  <c r="H96" i="2" l="1"/>
  <c r="E97" i="2" s="1"/>
  <c r="G97" i="2" l="1"/>
  <c r="I97" i="2" s="1"/>
  <c r="F97" i="2"/>
  <c r="H97" i="2" l="1"/>
  <c r="E98" i="2" s="1"/>
  <c r="F98" i="2" s="1"/>
  <c r="G98" i="2" l="1"/>
  <c r="I98" i="2" s="1"/>
  <c r="H98" i="2" l="1"/>
  <c r="E99" i="2" s="1"/>
  <c r="G99" i="2"/>
  <c r="I99" i="2" s="1"/>
  <c r="F99" i="2"/>
  <c r="H99" i="2" l="1"/>
  <c r="E100" i="2" s="1"/>
  <c r="F100" i="2" s="1"/>
  <c r="G100" i="2" l="1"/>
  <c r="I100" i="2" s="1"/>
  <c r="H100" i="2" l="1"/>
  <c r="E101" i="2" s="1"/>
  <c r="G101" i="2" s="1"/>
  <c r="I101" i="2" s="1"/>
  <c r="F101" i="2" l="1"/>
  <c r="H101" i="2" s="1"/>
  <c r="E102" i="2" s="1"/>
  <c r="F102" i="2" l="1"/>
  <c r="G102" i="2"/>
  <c r="I102" i="2" s="1"/>
  <c r="H102" i="2" l="1"/>
  <c r="E103" i="2" s="1"/>
  <c r="G103" i="2" l="1"/>
  <c r="I103" i="2" s="1"/>
  <c r="F103" i="2"/>
  <c r="H103" i="2" l="1"/>
  <c r="E104" i="2" s="1"/>
  <c r="G104" i="2"/>
  <c r="I104" i="2" s="1"/>
  <c r="F104" i="2"/>
  <c r="H104" i="2" s="1"/>
  <c r="E105" i="2" s="1"/>
  <c r="G105" i="2" l="1"/>
  <c r="I105" i="2" s="1"/>
  <c r="F105" i="2"/>
  <c r="H105" i="2" s="1"/>
  <c r="E106" i="2" s="1"/>
  <c r="F106" i="2" s="1"/>
  <c r="G106" i="2" l="1"/>
  <c r="I106" i="2" s="1"/>
  <c r="H10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<sst xmlns="http://schemas.openxmlformats.org/spreadsheetml/2006/main" count="30" uniqueCount="30">
  <si>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Monthly Investment</t>
  </si>
  <si>
    <t>Time period</t>
  </si>
  <si>
    <t>Total Invested Amount</t>
  </si>
  <si>
    <t>Enter values</t>
  </si>
  <si>
    <t>sip calculater</t>
  </si>
  <si>
    <t>year</t>
  </si>
  <si>
    <t>present value</t>
  </si>
  <si>
    <t>future value</t>
  </si>
  <si>
    <t>Expected Return</t>
  </si>
  <si>
    <t>Growth in Investment</t>
  </si>
  <si>
    <t>Total Amount =</t>
  </si>
  <si>
    <t>years</t>
  </si>
  <si>
    <t>Beginning Balance</t>
  </si>
  <si>
    <t>Interest Earned</t>
  </si>
  <si>
    <t>Total Withdrawn</t>
  </si>
  <si>
    <t>Ending Balance</t>
  </si>
  <si>
    <t>Monthly Withdraw</t>
  </si>
  <si>
    <t>Enter</t>
  </si>
  <si>
    <t>Initial Investment</t>
  </si>
  <si>
    <t>Expected Annual Return</t>
  </si>
  <si>
    <t>Monthly Withdrawal</t>
  </si>
  <si>
    <t>Yearly Withdrawal</t>
  </si>
  <si>
    <t>Amount</t>
  </si>
  <si>
    <t>Monthly Expense now</t>
  </si>
  <si>
    <t>Current value</t>
  </si>
  <si>
    <t>No Of Years</t>
  </si>
  <si>
    <t>FUTURE VALUE</t>
  </si>
  <si>
    <t>INFLATION</t>
  </si>
  <si>
    <t>VALUE</t>
  </si>
  <si>
    <t>Future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</si>
</sst>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164" formatCode="&quot;₹&quot;\ #,##0.00"/>
    <numFmt numFmtId="165" formatCode="&quot;₹&quot;\ #,##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1"/>
      <name val="Baskerville Old Face"/>
      <family val="1"/>
    </font>
  </fonts>
  <fills count="3">
    <fill>
      <patternFill patternType="none"/>
    </fill>
    <fill>
      <patternFill patternType="gray125"/>
    </fill>
    <fill>
      <patternFill patternType="solid">
        <fgColor rgb="FFAAE57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/>
    <xf numFmtId="0" fontId="0" fillId="0" borderId="1" xfId="0" applyBorder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8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0" xfId="0" applyFont="1" applyFill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2" borderId="4" xfId="0" applyFont="1" applyFill="1" applyBorder="1"/>
    <xf numFmtId="0" fontId="1" fillId="2" borderId="5" xfId="0" applyFont="1" applyFill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0" fontId="1" fillId="2" borderId="4" xfId="0" applyFont="1" applyFill="1" applyBorder="1" applyAlignment="1">
      <alignment wrapText="1"/>
    </xf>
  </cellXfs>
  <cellStyles count="1"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rgb="FFAAE571"/>
        </patternFill>
      </fill>
    </dxf>
  </dxfs>
  <tableStyles count="0" defaultTableStyle="TableStyleMedium2" defaultPivotStyle="PivotStyleLight16"/>
  <colors>
    <mruColors>
      <color rgb="FF99FF99"/>
      <color rgb="FFCCFF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595470</xdr:colOff>
      <xdr:row>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0E278B8-AD6D-7974-136B-9F017B0F6CE7}"/>
            </a:ext>
          </a:extLst>
        </xdr:cNvPr>
        <xdr:cNvSpPr/>
      </xdr:nvSpPr>
      <xdr:spPr>
        <a:xfrm>
          <a:off x="0" y="0"/>
          <a:ext cx="9206070" cy="545123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 b="0" i="0">
              <a:solidFill>
                <a:sysClr val="windowText" lastClr="000000"/>
              </a:solidFill>
              <a:latin typeface="Algerian" panose="04020705040A02060702" pitchFamily="82" charset="0"/>
            </a:rPr>
            <a:t>Sistamatic investment plan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6626</xdr:rowOff>
    </xdr:from>
    <xdr:to>
      <xdr:col>13</xdr:col>
      <xdr:colOff>6626</xdr:colOff>
      <xdr:row>3</xdr:row>
      <xdr:rowOff>86140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34BB00-D2E4-E29B-8FB9-F096558D1714}"/>
            </a:ext>
          </a:extLst>
        </xdr:cNvPr>
        <xdr:cNvSpPr/>
      </xdr:nvSpPr>
      <xdr:spPr>
        <a:xfrm>
          <a:off x="0" y="6626"/>
          <a:ext cx="12430539" cy="63610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3200" b="0" i="0">
              <a:solidFill>
                <a:schemeClr val="tx1">
                  <a:lumMod val="95000"/>
                  <a:lumOff val="5000"/>
                </a:schemeClr>
              </a:solidFill>
              <a:latin typeface="Algerian" panose="04020705040A02060702" pitchFamily="82" charset="0"/>
            </a:rPr>
            <a:t>SISTEMATIC</a:t>
          </a:r>
          <a:r>
            <a:rPr lang="en-IN" sz="3200" b="0" i="0" baseline="0">
              <a:solidFill>
                <a:schemeClr val="tx1">
                  <a:lumMod val="95000"/>
                  <a:lumOff val="5000"/>
                </a:schemeClr>
              </a:solidFill>
              <a:latin typeface="Algerian" panose="04020705040A02060702" pitchFamily="82" charset="0"/>
            </a:rPr>
            <a:t> WITHDRAWAL PLAN</a:t>
          </a:r>
          <a:endParaRPr lang="en-IN" sz="3200" b="0" i="0">
            <a:solidFill>
              <a:schemeClr val="tx1">
                <a:lumMod val="95000"/>
                <a:lumOff val="5000"/>
              </a:schemeClr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EA8C87-A9FA-45D8-9EF2-600337F1E3CC}" name="Table5" displayName="Table5" ref="A5:B11" totalsRowShown="0" headerRowDxfId="12" tableBorderDxfId="11">
  <autoFilter ref="A5:B11" xr:uid="{DFEA8C87-A9FA-45D8-9EF2-600337F1E3CC}">
    <filterColumn colId="0" hiddenButton="1"/>
    <filterColumn colId="1" hiddenButton="1"/>
  </autoFilter>
  <tableColumns count="2">
    <tableColumn id="1" xr3:uid="{3DBE6287-1BBD-4FB6-920A-D27C887D3475}" name="sip calculater" dataDxfId="10"/>
    <tableColumn id="2" xr3:uid="{CF3BE34F-61C8-4460-A92A-6EBB3400AD36}" name="Enter values" dataDxfId="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35EF20-ECB6-477B-B559-B5D34FE2DEFF}" name="Table6" displayName="Table6" ref="A6:B10" totalsRowShown="0" headerRowBorderDxfId="8" tableBorderDxfId="7" totalsRowBorderDxfId="6">
  <autoFilter ref="A6:B10" xr:uid="{EF35EF20-ECB6-477B-B559-B5D34FE2DEFF}">
    <filterColumn colId="0" hiddenButton="1"/>
    <filterColumn colId="1" hiddenButton="1"/>
  </autoFilter>
  <tableColumns count="2">
    <tableColumn id="1" xr3:uid="{A599B531-978A-44D0-BE5D-C54A5DF7247B}" name="Enter" dataDxfId="5"/>
    <tableColumn id="2" xr3:uid="{CE1CF325-025D-4D38-AB94-2B78253D84DD}" name="Amou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7C131B-0466-40A2-B257-DAEC6C14C89B}" name="Table7" displayName="Table7" ref="A13:B17" totalsRowShown="0" headerRowBorderDxfId="4" tableBorderDxfId="3" totalsRowBorderDxfId="2">
  <autoFilter ref="A13:B17" xr:uid="{A67C131B-0466-40A2-B257-DAEC6C14C89B}">
    <filterColumn colId="0" hiddenButton="1"/>
    <filterColumn colId="1" hiddenButton="1"/>
  </autoFilter>
  <tableColumns count="2">
    <tableColumn id="1" xr3:uid="{F4856228-74E8-4DA8-B90E-A980F7151D2F}" name="Monthly Expense now" dataDxfId="1"/>
    <tableColumn id="2" xr3:uid="{143A78B1-1763-405C-A8A0-2186649B9F9D}" name="VALU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360E6-56D6-4F37-9B6B-1914C20F6F8F}">
  <sheetPr codeName="Sheet1"/>
  <dimension ref="A5:L105"/>
  <sheetViews>
    <sheetView tabSelected="1" zoomScale="133" workbookViewId="0">
      <selection activeCell="A14" sqref="A14"/>
    </sheetView>
  </sheetViews>
  <sheetFormatPr defaultRowHeight="14.4" x14ac:dyDescent="0.3"/>
  <cols>
    <col min="1" max="1" width="31.44140625" bestFit="1" customWidth="1"/>
    <col min="2" max="2" width="17.88671875" bestFit="1" customWidth="1"/>
    <col min="4" max="4" width="9.77734375" customWidth="1"/>
    <col min="5" max="5" width="19.88671875" bestFit="1" customWidth="1"/>
    <col min="6" max="6" width="21.21875" customWidth="1"/>
  </cols>
  <sheetData>
    <row r="5" spans="1:12" ht="18" x14ac:dyDescent="0.35">
      <c r="A5" s="14" t="s">
        <v>4</v>
      </c>
      <c r="B5" s="14" t="s">
        <v>3</v>
      </c>
      <c r="C5" s="3"/>
      <c r="D5" s="12" t="s">
        <v>5</v>
      </c>
      <c r="E5" s="13" t="s">
        <v>6</v>
      </c>
      <c r="F5" s="13" t="s">
        <v>7</v>
      </c>
    </row>
    <row r="6" spans="1:12" ht="18" x14ac:dyDescent="0.35">
      <c r="A6" s="6" t="s">
        <v>0</v>
      </c>
      <c r="B6" s="5">
        <v>10000</v>
      </c>
      <c r="C6" s="3"/>
      <c r="D6" s="4" cm="1">
        <f t="array" ref="D6:D105">_xlfn.SEQUENCE(100)</f>
        <v>1</v>
      </c>
      <c r="E6" s="4">
        <f>B6*12</f>
        <v>120000</v>
      </c>
      <c r="F6" s="4">
        <f>(E6*$B$7/100)+E6</f>
        <v>138000</v>
      </c>
    </row>
    <row r="7" spans="1:12" ht="18" x14ac:dyDescent="0.35">
      <c r="A7" s="3" t="s">
        <v>8</v>
      </c>
      <c r="B7" s="5">
        <v>15</v>
      </c>
      <c r="C7" s="5"/>
      <c r="D7" s="4">
        <v>2</v>
      </c>
      <c r="E7" s="4" t="str">
        <f>TEXT(E6*$B$8/100+E6,"0")</f>
        <v>132000</v>
      </c>
      <c r="F7" s="4" t="str">
        <f>TEXT((E7+F6)*$B$7/100+E7+F6,"0")</f>
        <v>310500</v>
      </c>
    </row>
    <row r="8" spans="1:12" ht="18" x14ac:dyDescent="0.35">
      <c r="A8" s="3" t="s">
        <v>9</v>
      </c>
      <c r="B8" s="5">
        <v>10</v>
      </c>
      <c r="C8" s="3"/>
      <c r="D8" s="4">
        <v>3</v>
      </c>
      <c r="E8" s="4" t="str">
        <f t="shared" ref="E8:E11" si="0">TEXT(E7*$B$8/100+E7,"0")</f>
        <v>145200</v>
      </c>
      <c r="F8" s="4" t="str">
        <f t="shared" ref="F8:F71" si="1">TEXT((E8+F7)*$B$7/100+E8+F7,"0")</f>
        <v>524055</v>
      </c>
    </row>
    <row r="9" spans="1:12" ht="18" x14ac:dyDescent="0.35">
      <c r="A9" s="6" t="s">
        <v>1</v>
      </c>
      <c r="B9" s="5">
        <v>20</v>
      </c>
      <c r="C9" s="3"/>
      <c r="D9" s="4">
        <v>4</v>
      </c>
      <c r="E9" s="4" t="str">
        <f t="shared" si="0"/>
        <v>159720</v>
      </c>
      <c r="F9" s="4" t="str">
        <f t="shared" si="1"/>
        <v>786341</v>
      </c>
      <c r="L9" s="1"/>
    </row>
    <row r="10" spans="1:12" ht="18" x14ac:dyDescent="0.35">
      <c r="A10" s="6" t="s">
        <v>29</v>
      </c>
      <c r="B10" s="7" t="str">
        <f>TEXT(B16/10000000, "0.00") &amp; " Cr"</f>
        <v>2.66 Cr</v>
      </c>
      <c r="C10" s="3"/>
      <c r="D10" s="4">
        <v>5</v>
      </c>
      <c r="E10" s="4" t="str">
        <f t="shared" si="0"/>
        <v>175692</v>
      </c>
      <c r="F10" s="4" t="str">
        <f t="shared" si="1"/>
        <v>1106338</v>
      </c>
    </row>
    <row r="11" spans="1:12" ht="18" x14ac:dyDescent="0.35">
      <c r="A11" s="6" t="s">
        <v>2</v>
      </c>
      <c r="B11" s="7" t="str">
        <f>TEXT(VLOOKUP(B9,D6:F105,2,FALSE)/10000000, "0.00") &amp; " Cr"</f>
        <v>0.07 Cr</v>
      </c>
      <c r="C11" s="3"/>
      <c r="D11" s="4">
        <v>6</v>
      </c>
      <c r="E11" s="4" t="str">
        <f t="shared" si="0"/>
        <v>193261</v>
      </c>
      <c r="F11" s="4" t="str">
        <f t="shared" si="1"/>
        <v>1494539</v>
      </c>
    </row>
    <row r="12" spans="1:12" ht="18" x14ac:dyDescent="0.35">
      <c r="A12" s="3"/>
      <c r="B12" s="3"/>
      <c r="C12" s="3"/>
      <c r="D12" s="4">
        <v>7</v>
      </c>
      <c r="E12" s="4" t="str">
        <f>TEXT(E11*$B$8/100+E11,"0")</f>
        <v>212587</v>
      </c>
      <c r="F12" s="4" t="str">
        <f t="shared" si="1"/>
        <v>1963195</v>
      </c>
    </row>
    <row r="13" spans="1:12" ht="18" x14ac:dyDescent="0.35">
      <c r="A13" s="3"/>
      <c r="B13" s="3"/>
      <c r="C13" s="3"/>
      <c r="D13" s="4">
        <v>8</v>
      </c>
      <c r="E13" s="4" t="str">
        <f t="shared" ref="E13:E76" si="2">TEXT(E12*$B$8/100+E12,"0")</f>
        <v>233846</v>
      </c>
      <c r="F13" s="4" t="str">
        <f t="shared" si="1"/>
        <v>2526597</v>
      </c>
    </row>
    <row r="14" spans="1:12" ht="18" x14ac:dyDescent="0.35">
      <c r="A14" s="3"/>
      <c r="B14" s="3"/>
      <c r="C14" s="3"/>
      <c r="D14" s="4">
        <v>9</v>
      </c>
      <c r="E14" s="4" t="str">
        <f t="shared" si="2"/>
        <v>257231</v>
      </c>
      <c r="F14" s="4" t="str">
        <f t="shared" si="1"/>
        <v>3201402</v>
      </c>
    </row>
    <row r="15" spans="1:12" ht="18" x14ac:dyDescent="0.35">
      <c r="A15" s="6"/>
      <c r="B15" s="5"/>
      <c r="C15" s="3"/>
      <c r="D15" s="4">
        <v>10</v>
      </c>
      <c r="E15" s="4" t="str">
        <f t="shared" si="2"/>
        <v>282954</v>
      </c>
      <c r="F15" s="4" t="str">
        <f t="shared" si="1"/>
        <v>4007009</v>
      </c>
    </row>
    <row r="16" spans="1:12" ht="18" x14ac:dyDescent="0.35">
      <c r="A16" s="3" t="s">
        <v>10</v>
      </c>
      <c r="B16" s="5" t="str">
        <f>VLOOKUP(B9,D6:F105,3,FALSE)</f>
        <v>26603732</v>
      </c>
      <c r="C16" s="3"/>
      <c r="D16" s="4">
        <v>11</v>
      </c>
      <c r="E16" s="4" t="str">
        <f t="shared" si="2"/>
        <v>311249</v>
      </c>
      <c r="F16" s="4" t="str">
        <f t="shared" si="1"/>
        <v>4965997</v>
      </c>
    </row>
    <row r="17" spans="1:6" ht="18" x14ac:dyDescent="0.35">
      <c r="A17" s="6"/>
      <c r="B17" s="8"/>
      <c r="C17" s="3"/>
      <c r="D17" s="4">
        <v>12</v>
      </c>
      <c r="E17" s="4" t="str">
        <f t="shared" si="2"/>
        <v>342374</v>
      </c>
      <c r="F17" s="4" t="str">
        <f t="shared" si="1"/>
        <v>6104627</v>
      </c>
    </row>
    <row r="18" spans="1:6" ht="18" x14ac:dyDescent="0.35">
      <c r="A18" s="6"/>
      <c r="B18" s="5"/>
      <c r="C18" s="3"/>
      <c r="D18" s="4">
        <v>13</v>
      </c>
      <c r="E18" s="4" t="str">
        <f t="shared" si="2"/>
        <v>376611</v>
      </c>
      <c r="F18" s="4" t="str">
        <f t="shared" si="1"/>
        <v>7453424</v>
      </c>
    </row>
    <row r="19" spans="1:6" ht="18" x14ac:dyDescent="0.35">
      <c r="A19" s="6"/>
      <c r="B19" s="7"/>
      <c r="C19" s="3"/>
      <c r="D19" s="4">
        <v>14</v>
      </c>
      <c r="E19" s="4" t="str">
        <f t="shared" si="2"/>
        <v>414272</v>
      </c>
      <c r="F19" s="4" t="str">
        <f t="shared" si="1"/>
        <v>9047850</v>
      </c>
    </row>
    <row r="20" spans="1:6" ht="18" x14ac:dyDescent="0.35">
      <c r="A20" s="3"/>
      <c r="B20" s="3"/>
      <c r="C20" s="3"/>
      <c r="D20" s="4">
        <v>15</v>
      </c>
      <c r="E20" s="4" t="str">
        <f t="shared" si="2"/>
        <v>455699</v>
      </c>
      <c r="F20" s="4" t="str">
        <f t="shared" si="1"/>
        <v>10929081</v>
      </c>
    </row>
    <row r="21" spans="1:6" ht="18" x14ac:dyDescent="0.35">
      <c r="A21" s="3"/>
      <c r="B21" s="3"/>
      <c r="C21" s="3"/>
      <c r="D21" s="4">
        <v>16</v>
      </c>
      <c r="E21" s="4" t="str">
        <f t="shared" si="2"/>
        <v>501269</v>
      </c>
      <c r="F21" s="4" t="str">
        <f t="shared" si="1"/>
        <v>13144903</v>
      </c>
    </row>
    <row r="22" spans="1:6" ht="18" x14ac:dyDescent="0.35">
      <c r="A22" s="3"/>
      <c r="B22" s="3"/>
      <c r="C22" s="3"/>
      <c r="D22" s="4">
        <v>17</v>
      </c>
      <c r="E22" s="4" t="str">
        <f t="shared" si="2"/>
        <v>551396</v>
      </c>
      <c r="F22" s="4" t="str">
        <f t="shared" si="1"/>
        <v>15750744</v>
      </c>
    </row>
    <row r="23" spans="1:6" ht="18" x14ac:dyDescent="0.35">
      <c r="A23" s="3"/>
      <c r="B23" s="3"/>
      <c r="C23" s="3"/>
      <c r="D23" s="4">
        <v>18</v>
      </c>
      <c r="E23" s="4" t="str">
        <f t="shared" si="2"/>
        <v>606536</v>
      </c>
      <c r="F23" s="4" t="str">
        <f t="shared" si="1"/>
        <v>18810872</v>
      </c>
    </row>
    <row r="24" spans="1:6" ht="18" x14ac:dyDescent="0.35">
      <c r="A24" s="3"/>
      <c r="B24" s="3"/>
      <c r="C24" s="3"/>
      <c r="D24" s="4">
        <v>19</v>
      </c>
      <c r="E24" s="4" t="str">
        <f t="shared" si="2"/>
        <v>667190</v>
      </c>
      <c r="F24" s="4" t="str">
        <f t="shared" si="1"/>
        <v>22399771</v>
      </c>
    </row>
    <row r="25" spans="1:6" ht="18" x14ac:dyDescent="0.35">
      <c r="A25" s="3"/>
      <c r="B25" s="3"/>
      <c r="C25" s="3"/>
      <c r="D25" s="4">
        <v>20</v>
      </c>
      <c r="E25" s="4" t="str">
        <f t="shared" si="2"/>
        <v>733909</v>
      </c>
      <c r="F25" s="4" t="str">
        <f t="shared" si="1"/>
        <v>26603732</v>
      </c>
    </row>
    <row r="26" spans="1:6" ht="18" x14ac:dyDescent="0.35">
      <c r="A26" s="3"/>
      <c r="B26" s="3"/>
      <c r="C26" s="3"/>
      <c r="D26" s="4">
        <v>21</v>
      </c>
      <c r="E26" s="4" t="str">
        <f t="shared" si="2"/>
        <v>807300</v>
      </c>
      <c r="F26" s="4" t="str">
        <f t="shared" si="1"/>
        <v>31522687</v>
      </c>
    </row>
    <row r="27" spans="1:6" ht="18" x14ac:dyDescent="0.35">
      <c r="A27" s="3"/>
      <c r="B27" s="3"/>
      <c r="C27" s="3"/>
      <c r="D27" s="4">
        <v>22</v>
      </c>
      <c r="E27" s="4" t="str">
        <f t="shared" si="2"/>
        <v>888030</v>
      </c>
      <c r="F27" s="4" t="str">
        <f t="shared" si="1"/>
        <v>37272325</v>
      </c>
    </row>
    <row r="28" spans="1:6" ht="18" x14ac:dyDescent="0.35">
      <c r="A28" s="3"/>
      <c r="B28" s="3"/>
      <c r="C28" s="3"/>
      <c r="D28" s="4">
        <v>23</v>
      </c>
      <c r="E28" s="4" t="str">
        <f t="shared" si="2"/>
        <v>976833</v>
      </c>
      <c r="F28" s="4" t="str">
        <f t="shared" si="1"/>
        <v>43986532</v>
      </c>
    </row>
    <row r="29" spans="1:6" ht="18" x14ac:dyDescent="0.35">
      <c r="A29" s="3"/>
      <c r="B29" s="3"/>
      <c r="C29" s="3"/>
      <c r="D29" s="4">
        <v>24</v>
      </c>
      <c r="E29" s="4" t="str">
        <f t="shared" si="2"/>
        <v>1074516</v>
      </c>
      <c r="F29" s="4" t="str">
        <f t="shared" si="1"/>
        <v>51820205</v>
      </c>
    </row>
    <row r="30" spans="1:6" ht="18" x14ac:dyDescent="0.35">
      <c r="A30" s="3"/>
      <c r="B30" s="3"/>
      <c r="C30" s="3"/>
      <c r="D30" s="4">
        <v>25</v>
      </c>
      <c r="E30" s="4" t="str">
        <f t="shared" si="2"/>
        <v>1181968</v>
      </c>
      <c r="F30" s="4" t="str">
        <f t="shared" si="1"/>
        <v>60952499</v>
      </c>
    </row>
    <row r="31" spans="1:6" ht="18" x14ac:dyDescent="0.35">
      <c r="A31" s="3"/>
      <c r="B31" s="3"/>
      <c r="C31" s="3"/>
      <c r="D31" s="4">
        <v>26</v>
      </c>
      <c r="E31" s="4" t="str">
        <f t="shared" si="2"/>
        <v>1300165</v>
      </c>
      <c r="F31" s="4" t="str">
        <f t="shared" si="1"/>
        <v>71590564</v>
      </c>
    </row>
    <row r="32" spans="1:6" ht="18" x14ac:dyDescent="0.35">
      <c r="A32" s="3"/>
      <c r="B32" s="3"/>
      <c r="C32" s="3"/>
      <c r="D32" s="4">
        <v>27</v>
      </c>
      <c r="E32" s="4" t="str">
        <f t="shared" si="2"/>
        <v>1430182</v>
      </c>
      <c r="F32" s="4" t="str">
        <f t="shared" si="1"/>
        <v>83973858</v>
      </c>
    </row>
    <row r="33" spans="1:6" ht="18" x14ac:dyDescent="0.35">
      <c r="A33" s="3"/>
      <c r="B33" s="3"/>
      <c r="C33" s="3"/>
      <c r="D33" s="4">
        <v>28</v>
      </c>
      <c r="E33" s="4" t="str">
        <f t="shared" si="2"/>
        <v>1573200</v>
      </c>
      <c r="F33" s="4" t="str">
        <f t="shared" si="1"/>
        <v>98379117</v>
      </c>
    </row>
    <row r="34" spans="1:6" ht="18" x14ac:dyDescent="0.35">
      <c r="A34" s="3"/>
      <c r="B34" s="3"/>
      <c r="C34" s="3"/>
      <c r="D34" s="4">
        <v>29</v>
      </c>
      <c r="E34" s="4" t="str">
        <f t="shared" si="2"/>
        <v>1730520</v>
      </c>
      <c r="F34" s="4" t="str">
        <f t="shared" si="1"/>
        <v>115126083</v>
      </c>
    </row>
    <row r="35" spans="1:6" ht="18" x14ac:dyDescent="0.35">
      <c r="A35" s="3"/>
      <c r="B35" s="3"/>
      <c r="C35" s="3"/>
      <c r="D35" s="4">
        <v>30</v>
      </c>
      <c r="E35" s="4" t="str">
        <f t="shared" si="2"/>
        <v>1903572</v>
      </c>
      <c r="F35" s="4" t="str">
        <f t="shared" si="1"/>
        <v>134584103</v>
      </c>
    </row>
    <row r="36" spans="1:6" ht="18" x14ac:dyDescent="0.35">
      <c r="A36" s="3"/>
      <c r="B36" s="3"/>
      <c r="C36" s="3"/>
      <c r="D36" s="4">
        <v>31</v>
      </c>
      <c r="E36" s="4" t="str">
        <f t="shared" si="2"/>
        <v>2093929</v>
      </c>
      <c r="F36" s="4" t="str">
        <f t="shared" si="1"/>
        <v>157179737</v>
      </c>
    </row>
    <row r="37" spans="1:6" ht="18" x14ac:dyDescent="0.35">
      <c r="A37" s="3"/>
      <c r="B37" s="3"/>
      <c r="C37" s="3"/>
      <c r="D37" s="4">
        <v>32</v>
      </c>
      <c r="E37" s="4" t="str">
        <f t="shared" si="2"/>
        <v>2303322</v>
      </c>
      <c r="F37" s="4" t="str">
        <f t="shared" si="1"/>
        <v>183405518</v>
      </c>
    </row>
    <row r="38" spans="1:6" ht="18" x14ac:dyDescent="0.35">
      <c r="A38" s="3"/>
      <c r="B38" s="3"/>
      <c r="C38" s="3"/>
      <c r="D38" s="4">
        <v>33</v>
      </c>
      <c r="E38" s="4" t="str">
        <f t="shared" si="2"/>
        <v>2533654</v>
      </c>
      <c r="F38" s="4" t="str">
        <f t="shared" si="1"/>
        <v>213830048</v>
      </c>
    </row>
    <row r="39" spans="1:6" ht="18" x14ac:dyDescent="0.35">
      <c r="A39" s="3"/>
      <c r="B39" s="3"/>
      <c r="C39" s="3"/>
      <c r="D39" s="4">
        <v>34</v>
      </c>
      <c r="E39" s="4" t="str">
        <f t="shared" si="2"/>
        <v>2787019</v>
      </c>
      <c r="F39" s="4" t="str">
        <f t="shared" si="1"/>
        <v>249109627</v>
      </c>
    </row>
    <row r="40" spans="1:6" ht="18" x14ac:dyDescent="0.35">
      <c r="A40" s="3"/>
      <c r="B40" s="3"/>
      <c r="C40" s="3"/>
      <c r="D40" s="4">
        <v>35</v>
      </c>
      <c r="E40" s="4" t="str">
        <f t="shared" si="2"/>
        <v>3065721</v>
      </c>
      <c r="F40" s="4" t="str">
        <f t="shared" si="1"/>
        <v>290001650</v>
      </c>
    </row>
    <row r="41" spans="1:6" ht="18" x14ac:dyDescent="0.35">
      <c r="A41" s="3"/>
      <c r="B41" s="3"/>
      <c r="C41" s="3"/>
      <c r="D41" s="4">
        <v>36</v>
      </c>
      <c r="E41" s="4" t="str">
        <f t="shared" si="2"/>
        <v>3372293</v>
      </c>
      <c r="F41" s="4" t="str">
        <f t="shared" si="1"/>
        <v>337380034</v>
      </c>
    </row>
    <row r="42" spans="1:6" ht="18" x14ac:dyDescent="0.35">
      <c r="A42" s="3"/>
      <c r="B42" s="3"/>
      <c r="C42" s="3"/>
      <c r="D42" s="4">
        <v>37</v>
      </c>
      <c r="E42" s="4" t="str">
        <f t="shared" si="2"/>
        <v>3709522</v>
      </c>
      <c r="F42" s="4" t="str">
        <f t="shared" si="1"/>
        <v>392252989</v>
      </c>
    </row>
    <row r="43" spans="1:6" ht="18" x14ac:dyDescent="0.35">
      <c r="A43" s="3"/>
      <c r="B43" s="3"/>
      <c r="C43" s="3"/>
      <c r="D43" s="4">
        <v>38</v>
      </c>
      <c r="E43" s="4" t="str">
        <f t="shared" si="2"/>
        <v>4080474</v>
      </c>
      <c r="F43" s="4" t="str">
        <f t="shared" si="1"/>
        <v>455783482</v>
      </c>
    </row>
    <row r="44" spans="1:6" ht="18" x14ac:dyDescent="0.35">
      <c r="A44" s="3"/>
      <c r="B44" s="3"/>
      <c r="C44" s="3"/>
      <c r="D44" s="4">
        <v>39</v>
      </c>
      <c r="E44" s="4" t="str">
        <f t="shared" si="2"/>
        <v>4488521</v>
      </c>
      <c r="F44" s="4" t="str">
        <f t="shared" si="1"/>
        <v>529312803</v>
      </c>
    </row>
    <row r="45" spans="1:6" ht="18" x14ac:dyDescent="0.35">
      <c r="A45" s="3"/>
      <c r="B45" s="3"/>
      <c r="C45" s="3"/>
      <c r="D45" s="4">
        <v>40</v>
      </c>
      <c r="E45" s="4" t="str">
        <f t="shared" si="2"/>
        <v>4937373</v>
      </c>
      <c r="F45" s="4" t="str">
        <f t="shared" si="1"/>
        <v>614387702</v>
      </c>
    </row>
    <row r="46" spans="1:6" ht="18" x14ac:dyDescent="0.35">
      <c r="A46" s="3"/>
      <c r="B46" s="3"/>
      <c r="C46" s="3"/>
      <c r="D46" s="4">
        <v>41</v>
      </c>
      <c r="E46" s="4" t="str">
        <f t="shared" si="2"/>
        <v>5431110</v>
      </c>
      <c r="F46" s="4" t="str">
        <f t="shared" si="1"/>
        <v>712791634</v>
      </c>
    </row>
    <row r="47" spans="1:6" ht="18" x14ac:dyDescent="0.35">
      <c r="A47" s="3"/>
      <c r="B47" s="3"/>
      <c r="C47" s="3"/>
      <c r="D47" s="4">
        <v>42</v>
      </c>
      <c r="E47" s="4" t="str">
        <f t="shared" si="2"/>
        <v>5974221</v>
      </c>
      <c r="F47" s="4" t="str">
        <f t="shared" si="1"/>
        <v>826580733</v>
      </c>
    </row>
    <row r="48" spans="1:6" ht="18" x14ac:dyDescent="0.35">
      <c r="A48" s="3"/>
      <c r="B48" s="3"/>
      <c r="C48" s="3"/>
      <c r="D48" s="4">
        <v>43</v>
      </c>
      <c r="E48" s="4" t="str">
        <f t="shared" si="2"/>
        <v>6571643</v>
      </c>
      <c r="F48" s="4" t="str">
        <f t="shared" si="1"/>
        <v>958125232</v>
      </c>
    </row>
    <row r="49" spans="1:6" ht="18" x14ac:dyDescent="0.35">
      <c r="A49" s="3"/>
      <c r="B49" s="3"/>
      <c r="C49" s="3"/>
      <c r="D49" s="4">
        <v>44</v>
      </c>
      <c r="E49" s="4" t="str">
        <f t="shared" si="2"/>
        <v>7228807</v>
      </c>
      <c r="F49" s="4" t="str">
        <f t="shared" si="1"/>
        <v>1110157145</v>
      </c>
    </row>
    <row r="50" spans="1:6" ht="18" x14ac:dyDescent="0.35">
      <c r="A50" s="3"/>
      <c r="B50" s="3"/>
      <c r="C50" s="3"/>
      <c r="D50" s="4">
        <v>45</v>
      </c>
      <c r="E50" s="4" t="str">
        <f t="shared" si="2"/>
        <v>7951688</v>
      </c>
      <c r="F50" s="4" t="str">
        <f t="shared" si="1"/>
        <v>1285825158</v>
      </c>
    </row>
    <row r="51" spans="1:6" ht="18" x14ac:dyDescent="0.35">
      <c r="A51" s="3"/>
      <c r="B51" s="3"/>
      <c r="C51" s="3"/>
      <c r="D51" s="4">
        <v>46</v>
      </c>
      <c r="E51" s="4" t="str">
        <f t="shared" si="2"/>
        <v>8746857</v>
      </c>
      <c r="F51" s="4" t="str">
        <f t="shared" si="1"/>
        <v>1488757817</v>
      </c>
    </row>
    <row r="52" spans="1:6" ht="18" x14ac:dyDescent="0.35">
      <c r="A52" s="3"/>
      <c r="B52" s="3"/>
      <c r="C52" s="3"/>
      <c r="D52" s="4">
        <v>47</v>
      </c>
      <c r="E52" s="4" t="str">
        <f t="shared" si="2"/>
        <v>9621543</v>
      </c>
      <c r="F52" s="4" t="str">
        <f t="shared" si="1"/>
        <v>1723136264</v>
      </c>
    </row>
    <row r="53" spans="1:6" ht="18" x14ac:dyDescent="0.35">
      <c r="A53" s="3"/>
      <c r="B53" s="3"/>
      <c r="C53" s="3"/>
      <c r="D53" s="4">
        <v>48</v>
      </c>
      <c r="E53" s="4" t="str">
        <f t="shared" si="2"/>
        <v>10583697</v>
      </c>
      <c r="F53" s="4" t="str">
        <f t="shared" si="1"/>
        <v>1993777955</v>
      </c>
    </row>
    <row r="54" spans="1:6" ht="18" x14ac:dyDescent="0.35">
      <c r="A54" s="3"/>
      <c r="B54" s="3"/>
      <c r="C54" s="3"/>
      <c r="D54" s="4">
        <v>49</v>
      </c>
      <c r="E54" s="4" t="str">
        <f t="shared" si="2"/>
        <v>11642067</v>
      </c>
      <c r="F54" s="4" t="str">
        <f t="shared" si="1"/>
        <v>2306233025</v>
      </c>
    </row>
    <row r="55" spans="1:6" ht="18" x14ac:dyDescent="0.35">
      <c r="A55" s="3"/>
      <c r="B55" s="3"/>
      <c r="C55" s="3"/>
      <c r="D55" s="4">
        <v>50</v>
      </c>
      <c r="E55" s="4" t="str">
        <f t="shared" si="2"/>
        <v>12806274</v>
      </c>
      <c r="F55" s="4" t="str">
        <f t="shared" si="1"/>
        <v>2666895194</v>
      </c>
    </row>
    <row r="56" spans="1:6" ht="18" x14ac:dyDescent="0.35">
      <c r="A56" s="3"/>
      <c r="B56" s="3"/>
      <c r="C56" s="3"/>
      <c r="D56" s="4">
        <v>51</v>
      </c>
      <c r="E56" s="4" t="str">
        <f t="shared" si="2"/>
        <v>14086901</v>
      </c>
      <c r="F56" s="4" t="str">
        <f t="shared" si="1"/>
        <v>3083129409</v>
      </c>
    </row>
    <row r="57" spans="1:6" ht="18" x14ac:dyDescent="0.35">
      <c r="A57" s="3"/>
      <c r="B57" s="3"/>
      <c r="C57" s="3"/>
      <c r="D57" s="4">
        <v>52</v>
      </c>
      <c r="E57" s="4" t="str">
        <f t="shared" si="2"/>
        <v>15495591</v>
      </c>
      <c r="F57" s="4" t="str">
        <f t="shared" si="1"/>
        <v>3563418750</v>
      </c>
    </row>
    <row r="58" spans="1:6" ht="18" x14ac:dyDescent="0.35">
      <c r="A58" s="3"/>
      <c r="B58" s="3"/>
      <c r="C58" s="3"/>
      <c r="D58" s="4">
        <v>53</v>
      </c>
      <c r="E58" s="4" t="str">
        <f t="shared" si="2"/>
        <v>17045150</v>
      </c>
      <c r="F58" s="4" t="str">
        <f t="shared" si="1"/>
        <v>4117533485</v>
      </c>
    </row>
    <row r="59" spans="1:6" ht="18" x14ac:dyDescent="0.35">
      <c r="A59" s="3"/>
      <c r="B59" s="3"/>
      <c r="C59" s="3"/>
      <c r="D59" s="4">
        <v>54</v>
      </c>
      <c r="E59" s="4" t="str">
        <f t="shared" si="2"/>
        <v>18749665</v>
      </c>
      <c r="F59" s="4" t="str">
        <f t="shared" si="1"/>
        <v>4756725623</v>
      </c>
    </row>
    <row r="60" spans="1:6" ht="18" x14ac:dyDescent="0.35">
      <c r="A60" s="3"/>
      <c r="B60" s="3"/>
      <c r="C60" s="3"/>
      <c r="D60" s="4">
        <v>55</v>
      </c>
      <c r="E60" s="4" t="str">
        <f t="shared" si="2"/>
        <v>20624632</v>
      </c>
      <c r="F60" s="4" t="str">
        <f t="shared" si="1"/>
        <v>5493952793</v>
      </c>
    </row>
    <row r="61" spans="1:6" ht="18" x14ac:dyDescent="0.35">
      <c r="A61" s="3"/>
      <c r="B61" s="3"/>
      <c r="C61" s="3"/>
      <c r="D61" s="4">
        <v>56</v>
      </c>
      <c r="E61" s="4" t="str">
        <f t="shared" si="2"/>
        <v>22687095</v>
      </c>
      <c r="F61" s="4" t="str">
        <f t="shared" si="1"/>
        <v>6344135871</v>
      </c>
    </row>
    <row r="62" spans="1:6" ht="18" x14ac:dyDescent="0.35">
      <c r="A62" s="3"/>
      <c r="B62" s="3"/>
      <c r="C62" s="3"/>
      <c r="D62" s="4">
        <v>57</v>
      </c>
      <c r="E62" s="4" t="str">
        <f t="shared" si="2"/>
        <v>24955805</v>
      </c>
      <c r="F62" s="4" t="str">
        <f t="shared" si="1"/>
        <v>7324455427</v>
      </c>
    </row>
    <row r="63" spans="1:6" ht="18" x14ac:dyDescent="0.35">
      <c r="A63" s="3"/>
      <c r="B63" s="3"/>
      <c r="C63" s="3"/>
      <c r="D63" s="4">
        <v>58</v>
      </c>
      <c r="E63" s="4" t="str">
        <f t="shared" si="2"/>
        <v>27451386</v>
      </c>
      <c r="F63" s="4" t="str">
        <f t="shared" si="1"/>
        <v>8454692835</v>
      </c>
    </row>
    <row r="64" spans="1:6" ht="18" x14ac:dyDescent="0.35">
      <c r="A64" s="3"/>
      <c r="B64" s="3"/>
      <c r="C64" s="3"/>
      <c r="D64" s="4">
        <v>59</v>
      </c>
      <c r="E64" s="4" t="str">
        <f t="shared" si="2"/>
        <v>30196525</v>
      </c>
      <c r="F64" s="4" t="str">
        <f t="shared" si="1"/>
        <v>9757622764</v>
      </c>
    </row>
    <row r="65" spans="1:6" ht="18" x14ac:dyDescent="0.35">
      <c r="A65" s="3"/>
      <c r="B65" s="3"/>
      <c r="C65" s="3"/>
      <c r="D65" s="4">
        <v>60</v>
      </c>
      <c r="E65" s="4" t="str">
        <f t="shared" si="2"/>
        <v>33216178</v>
      </c>
      <c r="F65" s="4" t="str">
        <f t="shared" si="1"/>
        <v>11259464783</v>
      </c>
    </row>
    <row r="66" spans="1:6" ht="18" x14ac:dyDescent="0.35">
      <c r="A66" s="3"/>
      <c r="B66" s="3"/>
      <c r="C66" s="3"/>
      <c r="D66" s="4">
        <v>61</v>
      </c>
      <c r="E66" s="4" t="str">
        <f t="shared" si="2"/>
        <v>36537796</v>
      </c>
      <c r="F66" s="4" t="str">
        <f t="shared" si="1"/>
        <v>12990402966</v>
      </c>
    </row>
    <row r="67" spans="1:6" ht="18" x14ac:dyDescent="0.35">
      <c r="A67" s="3"/>
      <c r="B67" s="3"/>
      <c r="C67" s="3"/>
      <c r="D67" s="4">
        <v>62</v>
      </c>
      <c r="E67" s="4" t="str">
        <f t="shared" si="2"/>
        <v>40191576</v>
      </c>
      <c r="F67" s="4" t="str">
        <f t="shared" si="1"/>
        <v>14985183723</v>
      </c>
    </row>
    <row r="68" spans="1:6" ht="18" x14ac:dyDescent="0.35">
      <c r="A68" s="3"/>
      <c r="B68" s="3"/>
      <c r="C68" s="3"/>
      <c r="D68" s="4">
        <v>63</v>
      </c>
      <c r="E68" s="4" t="str">
        <f t="shared" si="2"/>
        <v>44210734</v>
      </c>
      <c r="F68" s="4" t="str">
        <f t="shared" si="1"/>
        <v>17283803626</v>
      </c>
    </row>
    <row r="69" spans="1:6" ht="18" x14ac:dyDescent="0.35">
      <c r="A69" s="3"/>
      <c r="B69" s="3"/>
      <c r="C69" s="3"/>
      <c r="D69" s="4">
        <v>64</v>
      </c>
      <c r="E69" s="4" t="str">
        <f t="shared" si="2"/>
        <v>48631807</v>
      </c>
      <c r="F69" s="4" t="str">
        <f t="shared" si="1"/>
        <v>19932300748</v>
      </c>
    </row>
    <row r="70" spans="1:6" ht="18" x14ac:dyDescent="0.35">
      <c r="A70" s="3"/>
      <c r="B70" s="3"/>
      <c r="C70" s="3"/>
      <c r="D70" s="4">
        <v>65</v>
      </c>
      <c r="E70" s="4" t="str">
        <f t="shared" si="2"/>
        <v>53494988</v>
      </c>
      <c r="F70" s="4" t="str">
        <f t="shared" si="1"/>
        <v>22983665096</v>
      </c>
    </row>
    <row r="71" spans="1:6" ht="18" x14ac:dyDescent="0.35">
      <c r="A71" s="3"/>
      <c r="B71" s="3"/>
      <c r="C71" s="3"/>
      <c r="D71" s="4">
        <v>66</v>
      </c>
      <c r="E71" s="4" t="str">
        <f t="shared" si="2"/>
        <v>58844487</v>
      </c>
      <c r="F71" s="4" t="str">
        <f t="shared" si="1"/>
        <v>26498886020</v>
      </c>
    </row>
    <row r="72" spans="1:6" ht="18" x14ac:dyDescent="0.35">
      <c r="A72" s="3"/>
      <c r="B72" s="3"/>
      <c r="C72" s="3"/>
      <c r="D72" s="4">
        <v>67</v>
      </c>
      <c r="E72" s="4" t="str">
        <f t="shared" si="2"/>
        <v>64728936</v>
      </c>
      <c r="F72" s="4" t="str">
        <f t="shared" ref="F72:F105" si="3">TEXT((E72+F71)*$B$7/100+E72+F71,"0")</f>
        <v>30548157199</v>
      </c>
    </row>
    <row r="73" spans="1:6" ht="18" x14ac:dyDescent="0.35">
      <c r="A73" s="3"/>
      <c r="B73" s="3"/>
      <c r="C73" s="3"/>
      <c r="D73" s="4">
        <v>68</v>
      </c>
      <c r="E73" s="4" t="str">
        <f t="shared" si="2"/>
        <v>71201830</v>
      </c>
      <c r="F73" s="4" t="str">
        <f t="shared" si="3"/>
        <v>35212262883</v>
      </c>
    </row>
    <row r="74" spans="1:6" ht="18" x14ac:dyDescent="0.35">
      <c r="A74" s="3"/>
      <c r="B74" s="3"/>
      <c r="C74" s="3"/>
      <c r="D74" s="4">
        <v>69</v>
      </c>
      <c r="E74" s="4" t="str">
        <f t="shared" si="2"/>
        <v>78322013</v>
      </c>
      <c r="F74" s="4" t="str">
        <f t="shared" si="3"/>
        <v>40584172630</v>
      </c>
    </row>
    <row r="75" spans="1:6" ht="18" x14ac:dyDescent="0.35">
      <c r="A75" s="3"/>
      <c r="B75" s="3"/>
      <c r="C75" s="3"/>
      <c r="D75" s="4">
        <v>70</v>
      </c>
      <c r="E75" s="4" t="str">
        <f t="shared" si="2"/>
        <v>86154214</v>
      </c>
      <c r="F75" s="4" t="str">
        <f t="shared" si="3"/>
        <v>46770875871</v>
      </c>
    </row>
    <row r="76" spans="1:6" ht="18" x14ac:dyDescent="0.35">
      <c r="A76" s="3"/>
      <c r="B76" s="3"/>
      <c r="C76" s="3"/>
      <c r="D76" s="4">
        <v>71</v>
      </c>
      <c r="E76" s="4" t="str">
        <f t="shared" si="2"/>
        <v>94769635</v>
      </c>
      <c r="F76" s="4" t="str">
        <f t="shared" si="3"/>
        <v>53895492332</v>
      </c>
    </row>
    <row r="77" spans="1:6" ht="18" x14ac:dyDescent="0.35">
      <c r="A77" s="3"/>
      <c r="B77" s="3"/>
      <c r="C77" s="3"/>
      <c r="D77" s="4">
        <v>72</v>
      </c>
      <c r="E77" s="4" t="str">
        <f t="shared" ref="E77:E105" si="4">TEXT(E76*$B$8/100+E76,"0")</f>
        <v>104246599</v>
      </c>
      <c r="F77" s="4" t="str">
        <f t="shared" si="3"/>
        <v>62099699771</v>
      </c>
    </row>
    <row r="78" spans="1:6" ht="18" x14ac:dyDescent="0.35">
      <c r="A78" s="3"/>
      <c r="B78" s="3"/>
      <c r="C78" s="3"/>
      <c r="D78" s="4">
        <v>73</v>
      </c>
      <c r="E78" s="4" t="str">
        <f t="shared" si="4"/>
        <v>114671259</v>
      </c>
      <c r="F78" s="4" t="str">
        <f t="shared" si="3"/>
        <v>71546526685</v>
      </c>
    </row>
    <row r="79" spans="1:6" ht="18" x14ac:dyDescent="0.35">
      <c r="A79" s="3"/>
      <c r="B79" s="3"/>
      <c r="C79" s="3"/>
      <c r="D79" s="4">
        <v>74</v>
      </c>
      <c r="E79" s="4" t="str">
        <f t="shared" si="4"/>
        <v>126138385</v>
      </c>
      <c r="F79" s="4" t="str">
        <f t="shared" si="3"/>
        <v>82423564831</v>
      </c>
    </row>
    <row r="80" spans="1:6" ht="18" x14ac:dyDescent="0.35">
      <c r="A80" s="3"/>
      <c r="B80" s="3"/>
      <c r="C80" s="3"/>
      <c r="D80" s="4">
        <v>75</v>
      </c>
      <c r="E80" s="4" t="str">
        <f t="shared" si="4"/>
        <v>138752224</v>
      </c>
      <c r="F80" s="4" t="str">
        <f t="shared" si="3"/>
        <v>94946664613</v>
      </c>
    </row>
    <row r="81" spans="1:6" ht="18" x14ac:dyDescent="0.35">
      <c r="A81" s="3"/>
      <c r="B81" s="3"/>
      <c r="C81" s="3"/>
      <c r="D81" s="4">
        <v>76</v>
      </c>
      <c r="E81" s="4" t="str">
        <f t="shared" si="4"/>
        <v>152627446</v>
      </c>
      <c r="F81" s="4" t="str">
        <f t="shared" si="3"/>
        <v>109364185868</v>
      </c>
    </row>
    <row r="82" spans="1:6" ht="18" x14ac:dyDescent="0.35">
      <c r="A82" s="3"/>
      <c r="B82" s="3"/>
      <c r="C82" s="3"/>
      <c r="D82" s="4">
        <v>77</v>
      </c>
      <c r="E82" s="4" t="str">
        <f t="shared" si="4"/>
        <v>167890191</v>
      </c>
      <c r="F82" s="4" t="str">
        <f t="shared" si="3"/>
        <v>125961887468</v>
      </c>
    </row>
    <row r="83" spans="1:6" ht="18" x14ac:dyDescent="0.35">
      <c r="A83" s="3"/>
      <c r="B83" s="3"/>
      <c r="C83" s="3"/>
      <c r="D83" s="4">
        <v>78</v>
      </c>
      <c r="E83" s="4" t="str">
        <f t="shared" si="4"/>
        <v>184679210</v>
      </c>
      <c r="F83" s="4" t="str">
        <f t="shared" si="3"/>
        <v>145068551680</v>
      </c>
    </row>
    <row r="84" spans="1:6" ht="18" x14ac:dyDescent="0.35">
      <c r="A84" s="3"/>
      <c r="B84" s="3"/>
      <c r="C84" s="3"/>
      <c r="D84" s="4">
        <v>79</v>
      </c>
      <c r="E84" s="4" t="str">
        <f t="shared" si="4"/>
        <v>203147131</v>
      </c>
      <c r="F84" s="4" t="str">
        <f t="shared" si="3"/>
        <v>167062453633</v>
      </c>
    </row>
    <row r="85" spans="1:6" ht="18" x14ac:dyDescent="0.35">
      <c r="A85" s="3"/>
      <c r="B85" s="3"/>
      <c r="C85" s="3"/>
      <c r="D85" s="4">
        <v>80</v>
      </c>
      <c r="E85" s="4" t="str">
        <f t="shared" si="4"/>
        <v>223461844</v>
      </c>
      <c r="F85" s="4" t="str">
        <f t="shared" si="3"/>
        <v>192378802799</v>
      </c>
    </row>
    <row r="86" spans="1:6" ht="18" x14ac:dyDescent="0.35">
      <c r="A86" s="3"/>
      <c r="B86" s="3"/>
      <c r="C86" s="3"/>
      <c r="D86" s="4">
        <v>81</v>
      </c>
      <c r="E86" s="4" t="str">
        <f t="shared" si="4"/>
        <v>245808028</v>
      </c>
      <c r="F86" s="4" t="str">
        <f t="shared" si="3"/>
        <v>221518302451</v>
      </c>
    </row>
    <row r="87" spans="1:6" ht="18" x14ac:dyDescent="0.35">
      <c r="A87" s="3"/>
      <c r="B87" s="3"/>
      <c r="C87" s="3"/>
      <c r="D87" s="4">
        <v>82</v>
      </c>
      <c r="E87" s="4" t="str">
        <f t="shared" si="4"/>
        <v>270388831</v>
      </c>
      <c r="F87" s="4" t="str">
        <f t="shared" si="3"/>
        <v>255056994974</v>
      </c>
    </row>
    <row r="88" spans="1:6" ht="18" x14ac:dyDescent="0.35">
      <c r="A88" s="3"/>
      <c r="B88" s="3"/>
      <c r="C88" s="3"/>
      <c r="D88" s="4">
        <v>83</v>
      </c>
      <c r="E88" s="4" t="str">
        <f t="shared" si="4"/>
        <v>297427714</v>
      </c>
      <c r="F88" s="4" t="str">
        <f t="shared" si="3"/>
        <v>293657586091</v>
      </c>
    </row>
    <row r="89" spans="1:6" ht="18" x14ac:dyDescent="0.35">
      <c r="A89" s="3"/>
      <c r="B89" s="3"/>
      <c r="C89" s="3"/>
      <c r="D89" s="4">
        <v>84</v>
      </c>
      <c r="E89" s="4" t="str">
        <f t="shared" si="4"/>
        <v>327170485</v>
      </c>
      <c r="F89" s="4" t="str">
        <f t="shared" si="3"/>
        <v>338082470062</v>
      </c>
    </row>
    <row r="90" spans="1:6" ht="18" x14ac:dyDescent="0.35">
      <c r="A90" s="3"/>
      <c r="B90" s="3"/>
      <c r="C90" s="3"/>
      <c r="D90" s="4">
        <v>85</v>
      </c>
      <c r="E90" s="4" t="str">
        <f t="shared" si="4"/>
        <v>359887534</v>
      </c>
      <c r="F90" s="4" t="str">
        <f t="shared" si="3"/>
        <v>389208711235</v>
      </c>
    </row>
    <row r="91" spans="1:6" ht="18" x14ac:dyDescent="0.35">
      <c r="A91" s="3"/>
      <c r="B91" s="3"/>
      <c r="C91" s="3"/>
      <c r="D91" s="4">
        <v>86</v>
      </c>
      <c r="E91" s="4" t="str">
        <f t="shared" si="4"/>
        <v>395876287</v>
      </c>
      <c r="F91" s="4" t="str">
        <f t="shared" si="3"/>
        <v>448045275650</v>
      </c>
    </row>
    <row r="92" spans="1:6" ht="18" x14ac:dyDescent="0.35">
      <c r="A92" s="3"/>
      <c r="B92" s="3"/>
      <c r="C92" s="3"/>
      <c r="D92" s="4">
        <v>87</v>
      </c>
      <c r="E92" s="4" t="str">
        <f t="shared" si="4"/>
        <v>435463916</v>
      </c>
      <c r="F92" s="4" t="str">
        <f t="shared" si="3"/>
        <v>515752850501</v>
      </c>
    </row>
    <row r="93" spans="1:6" ht="18" x14ac:dyDescent="0.35">
      <c r="A93" s="3"/>
      <c r="B93" s="3"/>
      <c r="C93" s="3"/>
      <c r="D93" s="4">
        <v>88</v>
      </c>
      <c r="E93" s="4" t="str">
        <f t="shared" si="4"/>
        <v>479010308</v>
      </c>
      <c r="F93" s="4" t="str">
        <f t="shared" si="3"/>
        <v>593666639930</v>
      </c>
    </row>
    <row r="94" spans="1:6" ht="18" x14ac:dyDescent="0.35">
      <c r="A94" s="3"/>
      <c r="B94" s="3"/>
      <c r="C94" s="3"/>
      <c r="D94" s="4">
        <v>89</v>
      </c>
      <c r="E94" s="4" t="str">
        <f t="shared" si="4"/>
        <v>526911339</v>
      </c>
      <c r="F94" s="4" t="str">
        <f t="shared" si="3"/>
        <v>683322583959</v>
      </c>
    </row>
    <row r="95" spans="1:6" ht="18" x14ac:dyDescent="0.35">
      <c r="A95" s="3"/>
      <c r="B95" s="3"/>
      <c r="C95" s="3"/>
      <c r="D95" s="4">
        <v>90</v>
      </c>
      <c r="E95" s="4" t="str">
        <f t="shared" si="4"/>
        <v>579602473</v>
      </c>
      <c r="F95" s="4" t="str">
        <f t="shared" si="3"/>
        <v>786487514397</v>
      </c>
    </row>
    <row r="96" spans="1:6" ht="18" x14ac:dyDescent="0.35">
      <c r="A96" s="3"/>
      <c r="B96" s="3"/>
      <c r="C96" s="3"/>
      <c r="D96" s="4">
        <v>91</v>
      </c>
      <c r="E96" s="4" t="str">
        <f t="shared" si="4"/>
        <v>637562720</v>
      </c>
      <c r="F96" s="4" t="str">
        <f t="shared" si="3"/>
        <v>905193838685</v>
      </c>
    </row>
    <row r="97" spans="1:6" ht="18" x14ac:dyDescent="0.35">
      <c r="A97" s="3"/>
      <c r="B97" s="3"/>
      <c r="C97" s="3"/>
      <c r="D97" s="4">
        <v>92</v>
      </c>
      <c r="E97" s="4" t="str">
        <f t="shared" si="4"/>
        <v>701318992</v>
      </c>
      <c r="F97" s="4" t="str">
        <f t="shared" si="3"/>
        <v>1041779431329</v>
      </c>
    </row>
    <row r="98" spans="1:6" ht="18" x14ac:dyDescent="0.35">
      <c r="A98" s="3"/>
      <c r="B98" s="3"/>
      <c r="C98" s="3"/>
      <c r="D98" s="4">
        <v>93</v>
      </c>
      <c r="E98" s="4" t="str">
        <f t="shared" si="4"/>
        <v>771450891</v>
      </c>
      <c r="F98" s="4" t="str">
        <f t="shared" si="3"/>
        <v>1198933514553</v>
      </c>
    </row>
    <row r="99" spans="1:6" ht="18" x14ac:dyDescent="0.35">
      <c r="A99" s="3"/>
      <c r="B99" s="3"/>
      <c r="C99" s="3"/>
      <c r="D99" s="4">
        <v>94</v>
      </c>
      <c r="E99" s="4" t="str">
        <f t="shared" si="4"/>
        <v>848595980</v>
      </c>
      <c r="F99" s="4" t="str">
        <f t="shared" si="3"/>
        <v>1379749427113</v>
      </c>
    </row>
    <row r="100" spans="1:6" ht="18" x14ac:dyDescent="0.35">
      <c r="A100" s="3"/>
      <c r="B100" s="3"/>
      <c r="C100" s="3"/>
      <c r="D100" s="4">
        <v>95</v>
      </c>
      <c r="E100" s="4" t="str">
        <f t="shared" si="4"/>
        <v>933455578</v>
      </c>
      <c r="F100" s="4" t="str">
        <f t="shared" si="3"/>
        <v>1587785315095</v>
      </c>
    </row>
    <row r="101" spans="1:6" ht="18" x14ac:dyDescent="0.35">
      <c r="A101" s="3"/>
      <c r="B101" s="3"/>
      <c r="C101" s="3"/>
      <c r="D101" s="4">
        <v>96</v>
      </c>
      <c r="E101" s="4" t="str">
        <f t="shared" si="4"/>
        <v>1026801136</v>
      </c>
      <c r="F101" s="4" t="str">
        <f t="shared" si="3"/>
        <v>1827133933666</v>
      </c>
    </row>
    <row r="102" spans="1:6" ht="18" x14ac:dyDescent="0.35">
      <c r="A102" s="3"/>
      <c r="B102" s="3"/>
      <c r="C102" s="3"/>
      <c r="D102" s="4">
        <v>97</v>
      </c>
      <c r="E102" s="4" t="str">
        <f t="shared" si="4"/>
        <v>1129481250</v>
      </c>
      <c r="F102" s="4" t="str">
        <f t="shared" si="3"/>
        <v>2102502927153</v>
      </c>
    </row>
    <row r="103" spans="1:6" ht="18" x14ac:dyDescent="0.35">
      <c r="A103" s="3"/>
      <c r="B103" s="3"/>
      <c r="C103" s="3"/>
      <c r="D103" s="4">
        <v>98</v>
      </c>
      <c r="E103" s="4" t="str">
        <f t="shared" si="4"/>
        <v>1242429375</v>
      </c>
      <c r="F103" s="4" t="str">
        <f t="shared" si="3"/>
        <v>2419307160007</v>
      </c>
    </row>
    <row r="104" spans="1:6" ht="18" x14ac:dyDescent="0.35">
      <c r="A104" s="3"/>
      <c r="B104" s="3"/>
      <c r="C104" s="3"/>
      <c r="D104" s="4">
        <v>99</v>
      </c>
      <c r="E104" s="4" t="str">
        <f t="shared" si="4"/>
        <v>1366672313</v>
      </c>
      <c r="F104" s="4" t="str">
        <f t="shared" si="3"/>
        <v>2783774907168</v>
      </c>
    </row>
    <row r="105" spans="1:6" ht="18" x14ac:dyDescent="0.35">
      <c r="A105" s="3"/>
      <c r="B105" s="3"/>
      <c r="C105" s="3"/>
      <c r="D105" s="4">
        <v>100</v>
      </c>
      <c r="E105" s="4" t="str">
        <f t="shared" si="4"/>
        <v>1503339544</v>
      </c>
      <c r="F105" s="4" t="str">
        <f t="shared" si="3"/>
        <v>3203069983719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B3E3-A483-4B7C-9CB1-7D3A85818D63}">
  <sheetPr codeName="Sheet2"/>
  <dimension ref="A6:I106"/>
  <sheetViews>
    <sheetView topLeftCell="A5" zoomScale="133" workbookViewId="0">
      <selection activeCell="B8" sqref="B8"/>
    </sheetView>
  </sheetViews>
  <sheetFormatPr defaultRowHeight="14.4" x14ac:dyDescent="0.3"/>
  <cols>
    <col min="1" max="1" width="21" customWidth="1"/>
    <col min="2" max="2" width="15.77734375" bestFit="1" customWidth="1"/>
    <col min="3" max="3" width="13.21875" bestFit="1" customWidth="1"/>
    <col min="5" max="5" width="19.77734375" bestFit="1" customWidth="1"/>
    <col min="6" max="6" width="17.33203125" bestFit="1" customWidth="1"/>
    <col min="7" max="7" width="19.77734375" bestFit="1" customWidth="1"/>
    <col min="8" max="8" width="18.33203125" bestFit="1" customWidth="1"/>
    <col min="9" max="9" width="16.6640625" bestFit="1" customWidth="1"/>
  </cols>
  <sheetData>
    <row r="6" spans="1:9" x14ac:dyDescent="0.3">
      <c r="A6" s="17" t="s">
        <v>17</v>
      </c>
      <c r="B6" s="18" t="s">
        <v>22</v>
      </c>
      <c r="D6" s="9" t="s">
        <v>11</v>
      </c>
      <c r="E6" s="9" t="s">
        <v>12</v>
      </c>
      <c r="F6" s="9" t="s">
        <v>13</v>
      </c>
      <c r="G6" s="9" t="s">
        <v>14</v>
      </c>
      <c r="H6" s="9" t="s">
        <v>15</v>
      </c>
      <c r="I6" s="9" t="s">
        <v>16</v>
      </c>
    </row>
    <row r="7" spans="1:9" x14ac:dyDescent="0.3">
      <c r="A7" s="15" t="s">
        <v>18</v>
      </c>
      <c r="B7" s="16" t="str">
        <f>TEXT(Sheet1!B16/10000000, "0.00") &amp; " Cr"</f>
        <v>2.66 Cr</v>
      </c>
      <c r="D7" s="2" cm="1">
        <f t="array" ref="D7:D106">_xlfn.SEQUENCE(100)</f>
        <v>1</v>
      </c>
      <c r="E7" s="10" t="str">
        <f>Sheet1!B16</f>
        <v>26603732</v>
      </c>
      <c r="F7" s="10">
        <f t="shared" ref="F7:F38" si="0">(E7*$B$8)/100</f>
        <v>2660373.2000000002</v>
      </c>
      <c r="G7" s="11">
        <f>IF(E7&lt;=0,"No more withdrawals",$B$9*(1+INT((D7-1)/5)*0.4)*12)</f>
        <v>642000</v>
      </c>
      <c r="H7" s="10">
        <f>E7+F7-G7</f>
        <v>28622105.199999999</v>
      </c>
      <c r="I7" s="11">
        <f>G7/12</f>
        <v>53500</v>
      </c>
    </row>
    <row r="8" spans="1:9" x14ac:dyDescent="0.3">
      <c r="A8" s="15" t="s">
        <v>19</v>
      </c>
      <c r="B8" s="16">
        <v>10</v>
      </c>
      <c r="D8" s="2">
        <v>2</v>
      </c>
      <c r="E8" s="10">
        <f>H7</f>
        <v>28622105.199999999</v>
      </c>
      <c r="F8" s="10">
        <f t="shared" si="0"/>
        <v>2862210.52</v>
      </c>
      <c r="G8" s="11">
        <f t="shared" ref="G8:G39" si="1">IF(E8&lt;=0,"No more withdrawals",$B$9*(1+INT((D8-1)/5)*0.4)*12)</f>
        <v>642000</v>
      </c>
      <c r="H8" s="10">
        <f>E8+F8-G8</f>
        <v>30842315.719999999</v>
      </c>
      <c r="I8" s="11">
        <f>G8/12</f>
        <v>53500</v>
      </c>
    </row>
    <row r="9" spans="1:9" x14ac:dyDescent="0.3">
      <c r="A9" s="15" t="s">
        <v>20</v>
      </c>
      <c r="B9" s="16">
        <f>B17</f>
        <v>53500</v>
      </c>
      <c r="D9" s="2">
        <v>3</v>
      </c>
      <c r="E9" s="10">
        <f t="shared" ref="E9:E72" si="2">H8</f>
        <v>30842315.719999999</v>
      </c>
      <c r="F9" s="10">
        <f t="shared" si="0"/>
        <v>3084231.5719999997</v>
      </c>
      <c r="G9" s="11">
        <f t="shared" si="1"/>
        <v>642000</v>
      </c>
      <c r="H9" s="10">
        <f t="shared" ref="H9:H72" si="3">E9+F9-G9</f>
        <v>33284547.291999996</v>
      </c>
      <c r="I9" s="11">
        <f t="shared" ref="I9:I72" si="4">G9/12</f>
        <v>53500</v>
      </c>
    </row>
    <row r="10" spans="1:9" x14ac:dyDescent="0.3">
      <c r="A10" s="19" t="s">
        <v>21</v>
      </c>
      <c r="B10" s="20">
        <f>B9*12</f>
        <v>642000</v>
      </c>
      <c r="D10" s="2">
        <v>4</v>
      </c>
      <c r="E10" s="10">
        <f t="shared" si="2"/>
        <v>33284547.291999996</v>
      </c>
      <c r="F10" s="10">
        <f t="shared" si="0"/>
        <v>3328454.7291999995</v>
      </c>
      <c r="G10" s="11">
        <f t="shared" si="1"/>
        <v>642000</v>
      </c>
      <c r="H10" s="10">
        <f t="shared" si="3"/>
        <v>35971002.021199994</v>
      </c>
      <c r="I10" s="11">
        <f t="shared" si="4"/>
        <v>53500</v>
      </c>
    </row>
    <row r="11" spans="1:9" x14ac:dyDescent="0.3">
      <c r="D11" s="2">
        <v>5</v>
      </c>
      <c r="E11" s="10">
        <f t="shared" si="2"/>
        <v>35971002.021199994</v>
      </c>
      <c r="F11" s="10">
        <f t="shared" si="0"/>
        <v>3597100.2021199996</v>
      </c>
      <c r="G11" s="11">
        <f t="shared" si="1"/>
        <v>642000</v>
      </c>
      <c r="H11" s="10">
        <f t="shared" si="3"/>
        <v>38926102.223319992</v>
      </c>
      <c r="I11" s="11">
        <f t="shared" si="4"/>
        <v>53500</v>
      </c>
    </row>
    <row r="12" spans="1:9" x14ac:dyDescent="0.3">
      <c r="D12" s="2">
        <v>6</v>
      </c>
      <c r="E12" s="10">
        <f t="shared" si="2"/>
        <v>38926102.223319992</v>
      </c>
      <c r="F12" s="10">
        <f t="shared" si="0"/>
        <v>3892610.2223319993</v>
      </c>
      <c r="G12" s="11">
        <f t="shared" si="1"/>
        <v>898800</v>
      </c>
      <c r="H12" s="10">
        <f t="shared" si="3"/>
        <v>41919912.445651993</v>
      </c>
      <c r="I12" s="11">
        <f t="shared" si="4"/>
        <v>74900</v>
      </c>
    </row>
    <row r="13" spans="1:9" x14ac:dyDescent="0.3">
      <c r="A13" s="22" t="s">
        <v>23</v>
      </c>
      <c r="B13" s="18" t="s">
        <v>28</v>
      </c>
      <c r="D13" s="2">
        <v>7</v>
      </c>
      <c r="E13" s="10">
        <f t="shared" si="2"/>
        <v>41919912.445651993</v>
      </c>
      <c r="F13" s="10">
        <f t="shared" si="0"/>
        <v>4191991.2445651996</v>
      </c>
      <c r="G13" s="11">
        <f t="shared" si="1"/>
        <v>898800</v>
      </c>
      <c r="H13" s="10">
        <f t="shared" si="3"/>
        <v>45213103.690217189</v>
      </c>
      <c r="I13" s="11">
        <f t="shared" si="4"/>
        <v>74900</v>
      </c>
    </row>
    <row r="14" spans="1:9" x14ac:dyDescent="0.3">
      <c r="A14" s="15" t="s">
        <v>24</v>
      </c>
      <c r="B14" s="21">
        <v>50000</v>
      </c>
      <c r="D14" s="2">
        <v>8</v>
      </c>
      <c r="E14" s="10">
        <f t="shared" si="2"/>
        <v>45213103.690217189</v>
      </c>
      <c r="F14" s="10">
        <f t="shared" si="0"/>
        <v>4521310.3690217193</v>
      </c>
      <c r="G14" s="11">
        <f t="shared" si="1"/>
        <v>898800</v>
      </c>
      <c r="H14" s="10">
        <f t="shared" si="3"/>
        <v>48835614.059238911</v>
      </c>
      <c r="I14" s="11">
        <f t="shared" si="4"/>
        <v>74900</v>
      </c>
    </row>
    <row r="15" spans="1:9" x14ac:dyDescent="0.3">
      <c r="A15" s="15" t="s">
        <v>25</v>
      </c>
      <c r="B15" s="16">
        <v>1</v>
      </c>
      <c r="D15" s="2">
        <v>9</v>
      </c>
      <c r="E15" s="10">
        <f t="shared" si="2"/>
        <v>48835614.059238911</v>
      </c>
      <c r="F15" s="10">
        <f t="shared" si="0"/>
        <v>4883561.4059238909</v>
      </c>
      <c r="G15" s="11">
        <f t="shared" si="1"/>
        <v>898800</v>
      </c>
      <c r="H15" s="10">
        <f t="shared" si="3"/>
        <v>52820375.465162799</v>
      </c>
      <c r="I15" s="11">
        <f t="shared" si="4"/>
        <v>74900</v>
      </c>
    </row>
    <row r="16" spans="1:9" x14ac:dyDescent="0.3">
      <c r="A16" s="15" t="s">
        <v>27</v>
      </c>
      <c r="B16" s="16">
        <v>7</v>
      </c>
      <c r="D16" s="2">
        <v>10</v>
      </c>
      <c r="E16" s="10">
        <f t="shared" si="2"/>
        <v>52820375.465162799</v>
      </c>
      <c r="F16" s="10">
        <f t="shared" si="0"/>
        <v>5282037.5465162806</v>
      </c>
      <c r="G16" s="11">
        <f t="shared" si="1"/>
        <v>898800</v>
      </c>
      <c r="H16" s="10">
        <f t="shared" si="3"/>
        <v>57203613.011679083</v>
      </c>
      <c r="I16" s="11">
        <f t="shared" si="4"/>
        <v>74900</v>
      </c>
    </row>
    <row r="17" spans="1:9" x14ac:dyDescent="0.3">
      <c r="A17" s="19" t="s">
        <v>26</v>
      </c>
      <c r="B17" s="20">
        <f>B14*(1+7/100)^B15</f>
        <v>53500</v>
      </c>
      <c r="D17" s="2">
        <v>11</v>
      </c>
      <c r="E17" s="10">
        <f t="shared" si="2"/>
        <v>57203613.011679083</v>
      </c>
      <c r="F17" s="10">
        <f t="shared" si="0"/>
        <v>5720361.3011679081</v>
      </c>
      <c r="G17" s="11">
        <f t="shared" si="1"/>
        <v>1155600</v>
      </c>
      <c r="H17" s="10">
        <f t="shared" si="3"/>
        <v>61768374.312846988</v>
      </c>
      <c r="I17" s="11">
        <f t="shared" si="4"/>
        <v>96300</v>
      </c>
    </row>
    <row r="18" spans="1:9" x14ac:dyDescent="0.3">
      <c r="D18" s="2">
        <v>12</v>
      </c>
      <c r="E18" s="10">
        <f t="shared" si="2"/>
        <v>61768374.312846988</v>
      </c>
      <c r="F18" s="10">
        <f t="shared" si="0"/>
        <v>6176837.4312846996</v>
      </c>
      <c r="G18" s="11">
        <f t="shared" si="1"/>
        <v>1155600</v>
      </c>
      <c r="H18" s="10">
        <f t="shared" si="3"/>
        <v>66789611.744131684</v>
      </c>
      <c r="I18" s="11">
        <f t="shared" si="4"/>
        <v>96300</v>
      </c>
    </row>
    <row r="19" spans="1:9" x14ac:dyDescent="0.3">
      <c r="D19" s="2">
        <v>13</v>
      </c>
      <c r="E19" s="10">
        <f t="shared" si="2"/>
        <v>66789611.744131684</v>
      </c>
      <c r="F19" s="10">
        <f t="shared" si="0"/>
        <v>6678961.1744131688</v>
      </c>
      <c r="G19" s="11">
        <f t="shared" si="1"/>
        <v>1155600</v>
      </c>
      <c r="H19" s="10">
        <f t="shared" si="3"/>
        <v>72312972.918544859</v>
      </c>
      <c r="I19" s="11">
        <f t="shared" si="4"/>
        <v>96300</v>
      </c>
    </row>
    <row r="20" spans="1:9" x14ac:dyDescent="0.3">
      <c r="D20" s="2">
        <v>14</v>
      </c>
      <c r="E20" s="10">
        <f t="shared" si="2"/>
        <v>72312972.918544859</v>
      </c>
      <c r="F20" s="10">
        <f t="shared" si="0"/>
        <v>7231297.2918544868</v>
      </c>
      <c r="G20" s="11">
        <f t="shared" si="1"/>
        <v>1155600</v>
      </c>
      <c r="H20" s="10">
        <f t="shared" si="3"/>
        <v>78388670.210399345</v>
      </c>
      <c r="I20" s="11">
        <f t="shared" si="4"/>
        <v>96300</v>
      </c>
    </row>
    <row r="21" spans="1:9" x14ac:dyDescent="0.3">
      <c r="D21" s="2">
        <v>15</v>
      </c>
      <c r="E21" s="10">
        <f t="shared" si="2"/>
        <v>78388670.210399345</v>
      </c>
      <c r="F21" s="10">
        <f t="shared" si="0"/>
        <v>7838867.0210399339</v>
      </c>
      <c r="G21" s="11">
        <f t="shared" si="1"/>
        <v>1155600</v>
      </c>
      <c r="H21" s="10">
        <f t="shared" si="3"/>
        <v>85071937.231439278</v>
      </c>
      <c r="I21" s="11">
        <f t="shared" si="4"/>
        <v>96300</v>
      </c>
    </row>
    <row r="22" spans="1:9" x14ac:dyDescent="0.3">
      <c r="D22" s="2">
        <v>16</v>
      </c>
      <c r="E22" s="10">
        <f t="shared" si="2"/>
        <v>85071937.231439278</v>
      </c>
      <c r="F22" s="10">
        <f t="shared" si="0"/>
        <v>8507193.7231439278</v>
      </c>
      <c r="G22" s="11">
        <f t="shared" si="1"/>
        <v>1412400.0000000002</v>
      </c>
      <c r="H22" s="10">
        <f t="shared" si="3"/>
        <v>92166730.954583198</v>
      </c>
      <c r="I22" s="11">
        <f t="shared" si="4"/>
        <v>117700.00000000001</v>
      </c>
    </row>
    <row r="23" spans="1:9" x14ac:dyDescent="0.3">
      <c r="D23" s="2">
        <v>17</v>
      </c>
      <c r="E23" s="10">
        <f t="shared" si="2"/>
        <v>92166730.954583198</v>
      </c>
      <c r="F23" s="10">
        <f t="shared" si="0"/>
        <v>9216673.0954583194</v>
      </c>
      <c r="G23" s="11">
        <f t="shared" si="1"/>
        <v>1412400.0000000002</v>
      </c>
      <c r="H23" s="10">
        <f t="shared" si="3"/>
        <v>99971004.050041512</v>
      </c>
      <c r="I23" s="11">
        <f t="shared" si="4"/>
        <v>117700.00000000001</v>
      </c>
    </row>
    <row r="24" spans="1:9" x14ac:dyDescent="0.3">
      <c r="D24" s="2">
        <v>18</v>
      </c>
      <c r="E24" s="10">
        <f t="shared" si="2"/>
        <v>99971004.050041512</v>
      </c>
      <c r="F24" s="10">
        <f t="shared" si="0"/>
        <v>9997100.4050041512</v>
      </c>
      <c r="G24" s="11">
        <f t="shared" si="1"/>
        <v>1412400.0000000002</v>
      </c>
      <c r="H24" s="10">
        <f t="shared" si="3"/>
        <v>108555704.45504567</v>
      </c>
      <c r="I24" s="11">
        <f t="shared" si="4"/>
        <v>117700.00000000001</v>
      </c>
    </row>
    <row r="25" spans="1:9" x14ac:dyDescent="0.3">
      <c r="D25" s="2">
        <v>19</v>
      </c>
      <c r="E25" s="10">
        <f t="shared" si="2"/>
        <v>108555704.45504567</v>
      </c>
      <c r="F25" s="10">
        <f t="shared" si="0"/>
        <v>10855570.445504569</v>
      </c>
      <c r="G25" s="11">
        <f t="shared" si="1"/>
        <v>1412400.0000000002</v>
      </c>
      <c r="H25" s="10">
        <f t="shared" si="3"/>
        <v>117998874.90055025</v>
      </c>
      <c r="I25" s="11">
        <f t="shared" si="4"/>
        <v>117700.00000000001</v>
      </c>
    </row>
    <row r="26" spans="1:9" x14ac:dyDescent="0.3">
      <c r="D26" s="2">
        <v>20</v>
      </c>
      <c r="E26" s="10">
        <f t="shared" si="2"/>
        <v>117998874.90055025</v>
      </c>
      <c r="F26" s="10">
        <f t="shared" si="0"/>
        <v>11799887.490055025</v>
      </c>
      <c r="G26" s="11">
        <f t="shared" si="1"/>
        <v>1412400.0000000002</v>
      </c>
      <c r="H26" s="10">
        <f t="shared" si="3"/>
        <v>128386362.39060527</v>
      </c>
      <c r="I26" s="11">
        <f t="shared" si="4"/>
        <v>117700.00000000001</v>
      </c>
    </row>
    <row r="27" spans="1:9" x14ac:dyDescent="0.3">
      <c r="D27" s="2">
        <v>21</v>
      </c>
      <c r="E27" s="10">
        <f t="shared" si="2"/>
        <v>128386362.39060527</v>
      </c>
      <c r="F27" s="10">
        <f t="shared" si="0"/>
        <v>12838636.239060527</v>
      </c>
      <c r="G27" s="11">
        <f t="shared" si="1"/>
        <v>1669200</v>
      </c>
      <c r="H27" s="10">
        <f t="shared" si="3"/>
        <v>139555798.62966579</v>
      </c>
      <c r="I27" s="11">
        <f t="shared" si="4"/>
        <v>139100</v>
      </c>
    </row>
    <row r="28" spans="1:9" x14ac:dyDescent="0.3">
      <c r="D28" s="2">
        <v>22</v>
      </c>
      <c r="E28" s="10">
        <f t="shared" si="2"/>
        <v>139555798.62966579</v>
      </c>
      <c r="F28" s="10">
        <f t="shared" si="0"/>
        <v>13955579.86296658</v>
      </c>
      <c r="G28" s="11">
        <f t="shared" si="1"/>
        <v>1669200</v>
      </c>
      <c r="H28" s="10">
        <f t="shared" si="3"/>
        <v>151842178.49263236</v>
      </c>
      <c r="I28" s="11">
        <f t="shared" si="4"/>
        <v>139100</v>
      </c>
    </row>
    <row r="29" spans="1:9" x14ac:dyDescent="0.3">
      <c r="D29" s="2">
        <v>23</v>
      </c>
      <c r="E29" s="10">
        <f t="shared" si="2"/>
        <v>151842178.49263236</v>
      </c>
      <c r="F29" s="10">
        <f t="shared" si="0"/>
        <v>15184217.849263236</v>
      </c>
      <c r="G29" s="11">
        <f t="shared" si="1"/>
        <v>1669200</v>
      </c>
      <c r="H29" s="10">
        <f t="shared" si="3"/>
        <v>165357196.34189558</v>
      </c>
      <c r="I29" s="11">
        <f t="shared" si="4"/>
        <v>139100</v>
      </c>
    </row>
    <row r="30" spans="1:9" x14ac:dyDescent="0.3">
      <c r="D30" s="2">
        <v>24</v>
      </c>
      <c r="E30" s="10">
        <f t="shared" si="2"/>
        <v>165357196.34189558</v>
      </c>
      <c r="F30" s="10">
        <f t="shared" si="0"/>
        <v>16535719.634189557</v>
      </c>
      <c r="G30" s="11">
        <f t="shared" si="1"/>
        <v>1669200</v>
      </c>
      <c r="H30" s="10">
        <f t="shared" si="3"/>
        <v>180223715.97608513</v>
      </c>
      <c r="I30" s="11">
        <f t="shared" si="4"/>
        <v>139100</v>
      </c>
    </row>
    <row r="31" spans="1:9" x14ac:dyDescent="0.3">
      <c r="D31" s="2">
        <v>25</v>
      </c>
      <c r="E31" s="10">
        <f t="shared" si="2"/>
        <v>180223715.97608513</v>
      </c>
      <c r="F31" s="10">
        <f t="shared" si="0"/>
        <v>18022371.597608514</v>
      </c>
      <c r="G31" s="11">
        <f t="shared" si="1"/>
        <v>1669200</v>
      </c>
      <c r="H31" s="10">
        <f t="shared" si="3"/>
        <v>196576887.57369363</v>
      </c>
      <c r="I31" s="11">
        <f t="shared" si="4"/>
        <v>139100</v>
      </c>
    </row>
    <row r="32" spans="1:9" x14ac:dyDescent="0.3">
      <c r="D32" s="2">
        <v>26</v>
      </c>
      <c r="E32" s="10">
        <f t="shared" si="2"/>
        <v>196576887.57369363</v>
      </c>
      <c r="F32" s="10">
        <f t="shared" si="0"/>
        <v>19657688.757369362</v>
      </c>
      <c r="G32" s="11">
        <f t="shared" si="1"/>
        <v>1926000</v>
      </c>
      <c r="H32" s="10">
        <f t="shared" si="3"/>
        <v>214308576.331063</v>
      </c>
      <c r="I32" s="11">
        <f t="shared" si="4"/>
        <v>160500</v>
      </c>
    </row>
    <row r="33" spans="4:9" x14ac:dyDescent="0.3">
      <c r="D33" s="2">
        <v>27</v>
      </c>
      <c r="E33" s="10">
        <f t="shared" si="2"/>
        <v>214308576.331063</v>
      </c>
      <c r="F33" s="10">
        <f t="shared" si="0"/>
        <v>21430857.633106302</v>
      </c>
      <c r="G33" s="11">
        <f t="shared" si="1"/>
        <v>1926000</v>
      </c>
      <c r="H33" s="10">
        <f t="shared" si="3"/>
        <v>233813433.96416929</v>
      </c>
      <c r="I33" s="11">
        <f t="shared" si="4"/>
        <v>160500</v>
      </c>
    </row>
    <row r="34" spans="4:9" x14ac:dyDescent="0.3">
      <c r="D34" s="2">
        <v>28</v>
      </c>
      <c r="E34" s="10">
        <f t="shared" si="2"/>
        <v>233813433.96416929</v>
      </c>
      <c r="F34" s="10">
        <f t="shared" si="0"/>
        <v>23381343.396416932</v>
      </c>
      <c r="G34" s="11">
        <f t="shared" si="1"/>
        <v>1926000</v>
      </c>
      <c r="H34" s="10">
        <f t="shared" si="3"/>
        <v>255268777.36058623</v>
      </c>
      <c r="I34" s="11">
        <f t="shared" si="4"/>
        <v>160500</v>
      </c>
    </row>
    <row r="35" spans="4:9" x14ac:dyDescent="0.3">
      <c r="D35" s="2">
        <v>29</v>
      </c>
      <c r="E35" s="10">
        <f t="shared" si="2"/>
        <v>255268777.36058623</v>
      </c>
      <c r="F35" s="10">
        <f t="shared" si="0"/>
        <v>25526877.736058623</v>
      </c>
      <c r="G35" s="11">
        <f t="shared" si="1"/>
        <v>1926000</v>
      </c>
      <c r="H35" s="10">
        <f t="shared" si="3"/>
        <v>278869655.09664488</v>
      </c>
      <c r="I35" s="11">
        <f t="shared" si="4"/>
        <v>160500</v>
      </c>
    </row>
    <row r="36" spans="4:9" x14ac:dyDescent="0.3">
      <c r="D36" s="2">
        <v>30</v>
      </c>
      <c r="E36" s="10">
        <f t="shared" si="2"/>
        <v>278869655.09664488</v>
      </c>
      <c r="F36" s="10">
        <f t="shared" si="0"/>
        <v>27886965.509664487</v>
      </c>
      <c r="G36" s="11">
        <f t="shared" si="1"/>
        <v>1926000</v>
      </c>
      <c r="H36" s="10">
        <f t="shared" si="3"/>
        <v>304830620.60630935</v>
      </c>
      <c r="I36" s="11">
        <f t="shared" si="4"/>
        <v>160500</v>
      </c>
    </row>
    <row r="37" spans="4:9" x14ac:dyDescent="0.3">
      <c r="D37" s="2">
        <v>31</v>
      </c>
      <c r="E37" s="10">
        <f t="shared" si="2"/>
        <v>304830620.60630935</v>
      </c>
      <c r="F37" s="10">
        <f t="shared" si="0"/>
        <v>30483062.060630936</v>
      </c>
      <c r="G37" s="11">
        <f t="shared" si="1"/>
        <v>2182800.0000000005</v>
      </c>
      <c r="H37" s="10">
        <f t="shared" si="3"/>
        <v>333130882.66694027</v>
      </c>
      <c r="I37" s="11">
        <f t="shared" si="4"/>
        <v>181900.00000000003</v>
      </c>
    </row>
    <row r="38" spans="4:9" x14ac:dyDescent="0.3">
      <c r="D38" s="2">
        <v>32</v>
      </c>
      <c r="E38" s="10">
        <f t="shared" si="2"/>
        <v>333130882.66694027</v>
      </c>
      <c r="F38" s="10">
        <f t="shared" si="0"/>
        <v>33313088.266694024</v>
      </c>
      <c r="G38" s="11">
        <f t="shared" si="1"/>
        <v>2182800.0000000005</v>
      </c>
      <c r="H38" s="10">
        <f t="shared" si="3"/>
        <v>364261170.93363428</v>
      </c>
      <c r="I38" s="11">
        <f t="shared" si="4"/>
        <v>181900.00000000003</v>
      </c>
    </row>
    <row r="39" spans="4:9" x14ac:dyDescent="0.3">
      <c r="D39" s="2">
        <v>33</v>
      </c>
      <c r="E39" s="10">
        <f t="shared" si="2"/>
        <v>364261170.93363428</v>
      </c>
      <c r="F39" s="10">
        <f t="shared" ref="F39:F70" si="5">(E39*$B$8)/100</f>
        <v>36426117.093363427</v>
      </c>
      <c r="G39" s="11">
        <f t="shared" si="1"/>
        <v>2182800.0000000005</v>
      </c>
      <c r="H39" s="10">
        <f t="shared" si="3"/>
        <v>398504488.02699769</v>
      </c>
      <c r="I39" s="11">
        <f t="shared" si="4"/>
        <v>181900.00000000003</v>
      </c>
    </row>
    <row r="40" spans="4:9" x14ac:dyDescent="0.3">
      <c r="D40" s="2">
        <v>34</v>
      </c>
      <c r="E40" s="10">
        <f t="shared" si="2"/>
        <v>398504488.02699769</v>
      </c>
      <c r="F40" s="10">
        <f t="shared" si="5"/>
        <v>39850448.802699767</v>
      </c>
      <c r="G40" s="11">
        <f t="shared" ref="G40:G71" si="6">IF(E40&lt;=0,"No more withdrawals",$B$9*(1+INT((D40-1)/5)*0.4)*12)</f>
        <v>2182800.0000000005</v>
      </c>
      <c r="H40" s="10">
        <f t="shared" si="3"/>
        <v>436172136.82969743</v>
      </c>
      <c r="I40" s="11">
        <f t="shared" si="4"/>
        <v>181900.00000000003</v>
      </c>
    </row>
    <row r="41" spans="4:9" x14ac:dyDescent="0.3">
      <c r="D41" s="2">
        <v>35</v>
      </c>
      <c r="E41" s="10">
        <f t="shared" si="2"/>
        <v>436172136.82969743</v>
      </c>
      <c r="F41" s="10">
        <f t="shared" si="5"/>
        <v>43617213.682969742</v>
      </c>
      <c r="G41" s="11">
        <f t="shared" si="6"/>
        <v>2182800.0000000005</v>
      </c>
      <c r="H41" s="10">
        <f t="shared" si="3"/>
        <v>477606550.51266718</v>
      </c>
      <c r="I41" s="11">
        <f t="shared" si="4"/>
        <v>181900.00000000003</v>
      </c>
    </row>
    <row r="42" spans="4:9" x14ac:dyDescent="0.3">
      <c r="D42" s="2">
        <v>36</v>
      </c>
      <c r="E42" s="10">
        <f t="shared" si="2"/>
        <v>477606550.51266718</v>
      </c>
      <c r="F42" s="10">
        <f t="shared" si="5"/>
        <v>47760655.051266715</v>
      </c>
      <c r="G42" s="11">
        <f t="shared" si="6"/>
        <v>2439600</v>
      </c>
      <c r="H42" s="10">
        <f t="shared" si="3"/>
        <v>522927605.56393391</v>
      </c>
      <c r="I42" s="11">
        <f t="shared" si="4"/>
        <v>203300</v>
      </c>
    </row>
    <row r="43" spans="4:9" x14ac:dyDescent="0.3">
      <c r="D43" s="2">
        <v>37</v>
      </c>
      <c r="E43" s="10">
        <f t="shared" si="2"/>
        <v>522927605.56393391</v>
      </c>
      <c r="F43" s="10">
        <f t="shared" si="5"/>
        <v>52292760.556393392</v>
      </c>
      <c r="G43" s="11">
        <f t="shared" si="6"/>
        <v>2439600</v>
      </c>
      <c r="H43" s="10">
        <f t="shared" si="3"/>
        <v>572780766.12032735</v>
      </c>
      <c r="I43" s="11">
        <f t="shared" si="4"/>
        <v>203300</v>
      </c>
    </row>
    <row r="44" spans="4:9" x14ac:dyDescent="0.3">
      <c r="D44" s="2">
        <v>38</v>
      </c>
      <c r="E44" s="10">
        <f t="shared" si="2"/>
        <v>572780766.12032735</v>
      </c>
      <c r="F44" s="10">
        <f t="shared" si="5"/>
        <v>57278076.612032741</v>
      </c>
      <c r="G44" s="11">
        <f t="shared" si="6"/>
        <v>2439600</v>
      </c>
      <c r="H44" s="10">
        <f t="shared" si="3"/>
        <v>627619242.73236012</v>
      </c>
      <c r="I44" s="11">
        <f t="shared" si="4"/>
        <v>203300</v>
      </c>
    </row>
    <row r="45" spans="4:9" x14ac:dyDescent="0.3">
      <c r="D45" s="2">
        <v>39</v>
      </c>
      <c r="E45" s="10">
        <f t="shared" si="2"/>
        <v>627619242.73236012</v>
      </c>
      <c r="F45" s="10">
        <f t="shared" si="5"/>
        <v>62761924.273236006</v>
      </c>
      <c r="G45" s="11">
        <f t="shared" si="6"/>
        <v>2439600</v>
      </c>
      <c r="H45" s="10">
        <f t="shared" si="3"/>
        <v>687941567.00559616</v>
      </c>
      <c r="I45" s="11">
        <f t="shared" si="4"/>
        <v>203300</v>
      </c>
    </row>
    <row r="46" spans="4:9" x14ac:dyDescent="0.3">
      <c r="D46" s="2">
        <v>40</v>
      </c>
      <c r="E46" s="10">
        <f t="shared" si="2"/>
        <v>687941567.00559616</v>
      </c>
      <c r="F46" s="10">
        <f t="shared" si="5"/>
        <v>68794156.700559616</v>
      </c>
      <c r="G46" s="11">
        <f t="shared" si="6"/>
        <v>2439600</v>
      </c>
      <c r="H46" s="10">
        <f t="shared" si="3"/>
        <v>754296123.70615578</v>
      </c>
      <c r="I46" s="11">
        <f t="shared" si="4"/>
        <v>203300</v>
      </c>
    </row>
    <row r="47" spans="4:9" x14ac:dyDescent="0.3">
      <c r="D47" s="2">
        <v>41</v>
      </c>
      <c r="E47" s="10">
        <f t="shared" si="2"/>
        <v>754296123.70615578</v>
      </c>
      <c r="F47" s="10">
        <f t="shared" si="5"/>
        <v>75429612.370615572</v>
      </c>
      <c r="G47" s="11">
        <f t="shared" si="6"/>
        <v>2696400</v>
      </c>
      <c r="H47" s="10">
        <f t="shared" si="3"/>
        <v>827029336.07677138</v>
      </c>
      <c r="I47" s="11">
        <f t="shared" si="4"/>
        <v>224700</v>
      </c>
    </row>
    <row r="48" spans="4:9" x14ac:dyDescent="0.3">
      <c r="D48" s="2">
        <v>42</v>
      </c>
      <c r="E48" s="10">
        <f t="shared" si="2"/>
        <v>827029336.07677138</v>
      </c>
      <c r="F48" s="10">
        <f t="shared" si="5"/>
        <v>82702933.607677132</v>
      </c>
      <c r="G48" s="11">
        <f t="shared" si="6"/>
        <v>2696400</v>
      </c>
      <c r="H48" s="10">
        <f t="shared" si="3"/>
        <v>907035869.68444848</v>
      </c>
      <c r="I48" s="11">
        <f t="shared" si="4"/>
        <v>224700</v>
      </c>
    </row>
    <row r="49" spans="4:9" x14ac:dyDescent="0.3">
      <c r="D49" s="2">
        <v>43</v>
      </c>
      <c r="E49" s="10">
        <f t="shared" si="2"/>
        <v>907035869.68444848</v>
      </c>
      <c r="F49" s="10">
        <f t="shared" si="5"/>
        <v>90703586.968444839</v>
      </c>
      <c r="G49" s="11">
        <f t="shared" si="6"/>
        <v>2696400</v>
      </c>
      <c r="H49" s="10">
        <f t="shared" si="3"/>
        <v>995043056.6528933</v>
      </c>
      <c r="I49" s="11">
        <f t="shared" si="4"/>
        <v>224700</v>
      </c>
    </row>
    <row r="50" spans="4:9" x14ac:dyDescent="0.3">
      <c r="D50" s="2">
        <v>44</v>
      </c>
      <c r="E50" s="10">
        <f t="shared" si="2"/>
        <v>995043056.6528933</v>
      </c>
      <c r="F50" s="10">
        <f t="shared" si="5"/>
        <v>99504305.665289328</v>
      </c>
      <c r="G50" s="11">
        <f t="shared" si="6"/>
        <v>2696400</v>
      </c>
      <c r="H50" s="10">
        <f t="shared" si="3"/>
        <v>1091850962.3181827</v>
      </c>
      <c r="I50" s="11">
        <f t="shared" si="4"/>
        <v>224700</v>
      </c>
    </row>
    <row r="51" spans="4:9" x14ac:dyDescent="0.3">
      <c r="D51" s="2">
        <v>45</v>
      </c>
      <c r="E51" s="10">
        <f t="shared" si="2"/>
        <v>1091850962.3181827</v>
      </c>
      <c r="F51" s="10">
        <f t="shared" si="5"/>
        <v>109185096.23181827</v>
      </c>
      <c r="G51" s="11">
        <f t="shared" si="6"/>
        <v>2696400</v>
      </c>
      <c r="H51" s="10">
        <f t="shared" si="3"/>
        <v>1198339658.5500009</v>
      </c>
      <c r="I51" s="11">
        <f t="shared" si="4"/>
        <v>224700</v>
      </c>
    </row>
    <row r="52" spans="4:9" x14ac:dyDescent="0.3">
      <c r="D52" s="2">
        <v>46</v>
      </c>
      <c r="E52" s="10">
        <f t="shared" si="2"/>
        <v>1198339658.5500009</v>
      </c>
      <c r="F52" s="10">
        <f t="shared" si="5"/>
        <v>119833965.85500009</v>
      </c>
      <c r="G52" s="11">
        <f t="shared" si="6"/>
        <v>2953199.9999999995</v>
      </c>
      <c r="H52" s="10">
        <f t="shared" si="3"/>
        <v>1315220424.4050009</v>
      </c>
      <c r="I52" s="11">
        <f t="shared" si="4"/>
        <v>246099.99999999997</v>
      </c>
    </row>
    <row r="53" spans="4:9" x14ac:dyDescent="0.3">
      <c r="D53" s="2">
        <v>47</v>
      </c>
      <c r="E53" s="10">
        <f t="shared" si="2"/>
        <v>1315220424.4050009</v>
      </c>
      <c r="F53" s="10">
        <f t="shared" si="5"/>
        <v>131522042.44050008</v>
      </c>
      <c r="G53" s="11">
        <f t="shared" si="6"/>
        <v>2953199.9999999995</v>
      </c>
      <c r="H53" s="10">
        <f t="shared" si="3"/>
        <v>1443789266.8455009</v>
      </c>
      <c r="I53" s="11">
        <f t="shared" si="4"/>
        <v>246099.99999999997</v>
      </c>
    </row>
    <row r="54" spans="4:9" x14ac:dyDescent="0.3">
      <c r="D54" s="2">
        <v>48</v>
      </c>
      <c r="E54" s="10">
        <f t="shared" si="2"/>
        <v>1443789266.8455009</v>
      </c>
      <c r="F54" s="10">
        <f t="shared" si="5"/>
        <v>144378926.68455011</v>
      </c>
      <c r="G54" s="11">
        <f t="shared" si="6"/>
        <v>2953199.9999999995</v>
      </c>
      <c r="H54" s="10">
        <f t="shared" si="3"/>
        <v>1585214993.530051</v>
      </c>
      <c r="I54" s="11">
        <f t="shared" si="4"/>
        <v>246099.99999999997</v>
      </c>
    </row>
    <row r="55" spans="4:9" x14ac:dyDescent="0.3">
      <c r="D55" s="2">
        <v>49</v>
      </c>
      <c r="E55" s="10">
        <f t="shared" si="2"/>
        <v>1585214993.530051</v>
      </c>
      <c r="F55" s="10">
        <f t="shared" si="5"/>
        <v>158521499.35300511</v>
      </c>
      <c r="G55" s="11">
        <f t="shared" si="6"/>
        <v>2953199.9999999995</v>
      </c>
      <c r="H55" s="10">
        <f t="shared" si="3"/>
        <v>1740783292.8830562</v>
      </c>
      <c r="I55" s="11">
        <f t="shared" si="4"/>
        <v>246099.99999999997</v>
      </c>
    </row>
    <row r="56" spans="4:9" x14ac:dyDescent="0.3">
      <c r="D56" s="2">
        <v>50</v>
      </c>
      <c r="E56" s="10">
        <f t="shared" si="2"/>
        <v>1740783292.8830562</v>
      </c>
      <c r="F56" s="10">
        <f t="shared" si="5"/>
        <v>174078329.28830564</v>
      </c>
      <c r="G56" s="11">
        <f t="shared" si="6"/>
        <v>2953199.9999999995</v>
      </c>
      <c r="H56" s="10">
        <f t="shared" si="3"/>
        <v>1911908422.1713619</v>
      </c>
      <c r="I56" s="11">
        <f t="shared" si="4"/>
        <v>246099.99999999997</v>
      </c>
    </row>
    <row r="57" spans="4:9" x14ac:dyDescent="0.3">
      <c r="D57" s="2">
        <v>51</v>
      </c>
      <c r="E57" s="10">
        <f t="shared" si="2"/>
        <v>1911908422.1713619</v>
      </c>
      <c r="F57" s="10">
        <f t="shared" si="5"/>
        <v>191190842.2171362</v>
      </c>
      <c r="G57" s="11">
        <f t="shared" si="6"/>
        <v>3210000</v>
      </c>
      <c r="H57" s="10">
        <f t="shared" si="3"/>
        <v>2099889264.3884981</v>
      </c>
      <c r="I57" s="11">
        <f t="shared" si="4"/>
        <v>267500</v>
      </c>
    </row>
    <row r="58" spans="4:9" x14ac:dyDescent="0.3">
      <c r="D58" s="2">
        <v>52</v>
      </c>
      <c r="E58" s="10">
        <f t="shared" si="2"/>
        <v>2099889264.3884981</v>
      </c>
      <c r="F58" s="10">
        <f t="shared" si="5"/>
        <v>209988926.43884981</v>
      </c>
      <c r="G58" s="11">
        <f t="shared" si="6"/>
        <v>3210000</v>
      </c>
      <c r="H58" s="10">
        <f t="shared" si="3"/>
        <v>2306668190.8273478</v>
      </c>
      <c r="I58" s="11">
        <f t="shared" si="4"/>
        <v>267500</v>
      </c>
    </row>
    <row r="59" spans="4:9" x14ac:dyDescent="0.3">
      <c r="D59" s="2">
        <v>53</v>
      </c>
      <c r="E59" s="10">
        <f t="shared" si="2"/>
        <v>2306668190.8273478</v>
      </c>
      <c r="F59" s="10">
        <f t="shared" si="5"/>
        <v>230666819.08273476</v>
      </c>
      <c r="G59" s="11">
        <f t="shared" si="6"/>
        <v>3210000</v>
      </c>
      <c r="H59" s="10">
        <f t="shared" si="3"/>
        <v>2534125009.9100823</v>
      </c>
      <c r="I59" s="11">
        <f t="shared" si="4"/>
        <v>267500</v>
      </c>
    </row>
    <row r="60" spans="4:9" x14ac:dyDescent="0.3">
      <c r="D60" s="2">
        <v>54</v>
      </c>
      <c r="E60" s="10">
        <f t="shared" si="2"/>
        <v>2534125009.9100823</v>
      </c>
      <c r="F60" s="10">
        <f t="shared" si="5"/>
        <v>253412500.99100822</v>
      </c>
      <c r="G60" s="11">
        <f t="shared" si="6"/>
        <v>3210000</v>
      </c>
      <c r="H60" s="10">
        <f t="shared" si="3"/>
        <v>2784327510.9010906</v>
      </c>
      <c r="I60" s="11">
        <f t="shared" si="4"/>
        <v>267500</v>
      </c>
    </row>
    <row r="61" spans="4:9" x14ac:dyDescent="0.3">
      <c r="D61" s="2">
        <v>55</v>
      </c>
      <c r="E61" s="10">
        <f t="shared" si="2"/>
        <v>2784327510.9010906</v>
      </c>
      <c r="F61" s="10">
        <f t="shared" si="5"/>
        <v>278432751.09010905</v>
      </c>
      <c r="G61" s="11">
        <f t="shared" si="6"/>
        <v>3210000</v>
      </c>
      <c r="H61" s="10">
        <f t="shared" si="3"/>
        <v>3059550261.9911995</v>
      </c>
      <c r="I61" s="11">
        <f t="shared" si="4"/>
        <v>267500</v>
      </c>
    </row>
    <row r="62" spans="4:9" x14ac:dyDescent="0.3">
      <c r="D62" s="2">
        <v>56</v>
      </c>
      <c r="E62" s="10">
        <f t="shared" si="2"/>
        <v>3059550261.9911995</v>
      </c>
      <c r="F62" s="10">
        <f t="shared" si="5"/>
        <v>305955026.19911993</v>
      </c>
      <c r="G62" s="11">
        <f t="shared" si="6"/>
        <v>3466800</v>
      </c>
      <c r="H62" s="10">
        <f t="shared" si="3"/>
        <v>3362038488.1903195</v>
      </c>
      <c r="I62" s="11">
        <f t="shared" si="4"/>
        <v>288900</v>
      </c>
    </row>
    <row r="63" spans="4:9" x14ac:dyDescent="0.3">
      <c r="D63" s="2">
        <v>57</v>
      </c>
      <c r="E63" s="10">
        <f t="shared" si="2"/>
        <v>3362038488.1903195</v>
      </c>
      <c r="F63" s="10">
        <f t="shared" si="5"/>
        <v>336203848.81903195</v>
      </c>
      <c r="G63" s="11">
        <f t="shared" si="6"/>
        <v>3466800</v>
      </c>
      <c r="H63" s="10">
        <f t="shared" si="3"/>
        <v>3694775537.0093517</v>
      </c>
      <c r="I63" s="11">
        <f t="shared" si="4"/>
        <v>288900</v>
      </c>
    </row>
    <row r="64" spans="4:9" x14ac:dyDescent="0.3">
      <c r="D64" s="2">
        <v>58</v>
      </c>
      <c r="E64" s="10">
        <f t="shared" si="2"/>
        <v>3694775537.0093517</v>
      </c>
      <c r="F64" s="10">
        <f t="shared" si="5"/>
        <v>369477553.70093518</v>
      </c>
      <c r="G64" s="11">
        <f t="shared" si="6"/>
        <v>3466800</v>
      </c>
      <c r="H64" s="10">
        <f t="shared" si="3"/>
        <v>4060786290.7102871</v>
      </c>
      <c r="I64" s="11">
        <f t="shared" si="4"/>
        <v>288900</v>
      </c>
    </row>
    <row r="65" spans="4:9" x14ac:dyDescent="0.3">
      <c r="D65" s="2">
        <v>59</v>
      </c>
      <c r="E65" s="10">
        <f t="shared" si="2"/>
        <v>4060786290.7102871</v>
      </c>
      <c r="F65" s="10">
        <f t="shared" si="5"/>
        <v>406078629.07102877</v>
      </c>
      <c r="G65" s="11">
        <f t="shared" si="6"/>
        <v>3466800</v>
      </c>
      <c r="H65" s="10">
        <f t="shared" si="3"/>
        <v>4463398119.7813158</v>
      </c>
      <c r="I65" s="11">
        <f t="shared" si="4"/>
        <v>288900</v>
      </c>
    </row>
    <row r="66" spans="4:9" x14ac:dyDescent="0.3">
      <c r="D66" s="2">
        <v>60</v>
      </c>
      <c r="E66" s="10">
        <f t="shared" si="2"/>
        <v>4463398119.7813158</v>
      </c>
      <c r="F66" s="10">
        <f t="shared" si="5"/>
        <v>446339811.97813153</v>
      </c>
      <c r="G66" s="11">
        <f t="shared" si="6"/>
        <v>3466800</v>
      </c>
      <c r="H66" s="10">
        <f t="shared" si="3"/>
        <v>4906271131.7594471</v>
      </c>
      <c r="I66" s="11">
        <f t="shared" si="4"/>
        <v>288900</v>
      </c>
    </row>
    <row r="67" spans="4:9" x14ac:dyDescent="0.3">
      <c r="D67" s="2">
        <v>61</v>
      </c>
      <c r="E67" s="10">
        <f t="shared" si="2"/>
        <v>4906271131.7594471</v>
      </c>
      <c r="F67" s="10">
        <f t="shared" si="5"/>
        <v>490627113.17594469</v>
      </c>
      <c r="G67" s="11">
        <f t="shared" si="6"/>
        <v>3723600.0000000009</v>
      </c>
      <c r="H67" s="10">
        <f t="shared" si="3"/>
        <v>5393174644.9353914</v>
      </c>
      <c r="I67" s="11">
        <f t="shared" si="4"/>
        <v>310300.00000000006</v>
      </c>
    </row>
    <row r="68" spans="4:9" x14ac:dyDescent="0.3">
      <c r="D68" s="2">
        <v>62</v>
      </c>
      <c r="E68" s="10">
        <f t="shared" si="2"/>
        <v>5393174644.9353914</v>
      </c>
      <c r="F68" s="10">
        <f t="shared" si="5"/>
        <v>539317464.49353909</v>
      </c>
      <c r="G68" s="11">
        <f t="shared" si="6"/>
        <v>3723600.0000000009</v>
      </c>
      <c r="H68" s="10">
        <f t="shared" si="3"/>
        <v>5928768509.4289303</v>
      </c>
      <c r="I68" s="11">
        <f t="shared" si="4"/>
        <v>310300.00000000006</v>
      </c>
    </row>
    <row r="69" spans="4:9" x14ac:dyDescent="0.3">
      <c r="D69" s="2">
        <v>63</v>
      </c>
      <c r="E69" s="10">
        <f t="shared" si="2"/>
        <v>5928768509.4289303</v>
      </c>
      <c r="F69" s="10">
        <f t="shared" si="5"/>
        <v>592876850.94289303</v>
      </c>
      <c r="G69" s="11">
        <f t="shared" si="6"/>
        <v>3723600.0000000009</v>
      </c>
      <c r="H69" s="10">
        <f t="shared" si="3"/>
        <v>6517921760.3718233</v>
      </c>
      <c r="I69" s="11">
        <f t="shared" si="4"/>
        <v>310300.00000000006</v>
      </c>
    </row>
    <row r="70" spans="4:9" x14ac:dyDescent="0.3">
      <c r="D70" s="2">
        <v>64</v>
      </c>
      <c r="E70" s="10">
        <f t="shared" si="2"/>
        <v>6517921760.3718233</v>
      </c>
      <c r="F70" s="10">
        <f t="shared" si="5"/>
        <v>651792176.03718233</v>
      </c>
      <c r="G70" s="11">
        <f t="shared" si="6"/>
        <v>3723600.0000000009</v>
      </c>
      <c r="H70" s="10">
        <f t="shared" si="3"/>
        <v>7165990336.4090061</v>
      </c>
      <c r="I70" s="11">
        <f t="shared" si="4"/>
        <v>310300.00000000006</v>
      </c>
    </row>
    <row r="71" spans="4:9" x14ac:dyDescent="0.3">
      <c r="D71" s="2">
        <v>65</v>
      </c>
      <c r="E71" s="10">
        <f t="shared" si="2"/>
        <v>7165990336.4090061</v>
      </c>
      <c r="F71" s="10">
        <f t="shared" ref="F71:F102" si="7">(E71*$B$8)/100</f>
        <v>716599033.64090061</v>
      </c>
      <c r="G71" s="11">
        <f t="shared" si="6"/>
        <v>3723600.0000000009</v>
      </c>
      <c r="H71" s="10">
        <f t="shared" si="3"/>
        <v>7878865770.0499067</v>
      </c>
      <c r="I71" s="11">
        <f t="shared" si="4"/>
        <v>310300.00000000006</v>
      </c>
    </row>
    <row r="72" spans="4:9" x14ac:dyDescent="0.3">
      <c r="D72" s="2">
        <v>66</v>
      </c>
      <c r="E72" s="10">
        <f t="shared" si="2"/>
        <v>7878865770.0499067</v>
      </c>
      <c r="F72" s="10">
        <f t="shared" si="7"/>
        <v>787886577.0049907</v>
      </c>
      <c r="G72" s="11">
        <f t="shared" ref="G72:G106" si="8">IF(E72&lt;=0,"No more withdrawals",$B$9*(1+INT((D72-1)/5)*0.4)*12)</f>
        <v>3980400</v>
      </c>
      <c r="H72" s="10">
        <f t="shared" si="3"/>
        <v>8662771947.0548973</v>
      </c>
      <c r="I72" s="11">
        <f t="shared" si="4"/>
        <v>331700</v>
      </c>
    </row>
    <row r="73" spans="4:9" x14ac:dyDescent="0.3">
      <c r="D73" s="2">
        <v>67</v>
      </c>
      <c r="E73" s="10">
        <f t="shared" ref="E73:E106" si="9">H72</f>
        <v>8662771947.0548973</v>
      </c>
      <c r="F73" s="10">
        <f t="shared" si="7"/>
        <v>866277194.70548975</v>
      </c>
      <c r="G73" s="11">
        <f t="shared" si="8"/>
        <v>3980400</v>
      </c>
      <c r="H73" s="10">
        <f t="shared" ref="H73:H106" si="10">E73+F73-G73</f>
        <v>9525068741.7603874</v>
      </c>
      <c r="I73" s="11">
        <f t="shared" ref="I73:I106" si="11">G73/12</f>
        <v>331700</v>
      </c>
    </row>
    <row r="74" spans="4:9" x14ac:dyDescent="0.3">
      <c r="D74" s="2">
        <v>68</v>
      </c>
      <c r="E74" s="10">
        <f t="shared" si="9"/>
        <v>9525068741.7603874</v>
      </c>
      <c r="F74" s="10">
        <f t="shared" si="7"/>
        <v>952506874.17603886</v>
      </c>
      <c r="G74" s="11">
        <f t="shared" si="8"/>
        <v>3980400</v>
      </c>
      <c r="H74" s="10">
        <f t="shared" si="10"/>
        <v>10473595215.936426</v>
      </c>
      <c r="I74" s="11">
        <f t="shared" si="11"/>
        <v>331700</v>
      </c>
    </row>
    <row r="75" spans="4:9" x14ac:dyDescent="0.3">
      <c r="D75" s="2">
        <v>69</v>
      </c>
      <c r="E75" s="10">
        <f t="shared" si="9"/>
        <v>10473595215.936426</v>
      </c>
      <c r="F75" s="10">
        <f t="shared" si="7"/>
        <v>1047359521.5936426</v>
      </c>
      <c r="G75" s="11">
        <f t="shared" si="8"/>
        <v>3980400</v>
      </c>
      <c r="H75" s="10">
        <f t="shared" si="10"/>
        <v>11516974337.530069</v>
      </c>
      <c r="I75" s="11">
        <f t="shared" si="11"/>
        <v>331700</v>
      </c>
    </row>
    <row r="76" spans="4:9" x14ac:dyDescent="0.3">
      <c r="D76" s="2">
        <v>70</v>
      </c>
      <c r="E76" s="10">
        <f t="shared" si="9"/>
        <v>11516974337.530069</v>
      </c>
      <c r="F76" s="10">
        <f t="shared" si="7"/>
        <v>1151697433.7530069</v>
      </c>
      <c r="G76" s="11">
        <f t="shared" si="8"/>
        <v>3980400</v>
      </c>
      <c r="H76" s="10">
        <f t="shared" si="10"/>
        <v>12664691371.283077</v>
      </c>
      <c r="I76" s="11">
        <f t="shared" si="11"/>
        <v>331700</v>
      </c>
    </row>
    <row r="77" spans="4:9" x14ac:dyDescent="0.3">
      <c r="D77" s="2">
        <v>71</v>
      </c>
      <c r="E77" s="10">
        <f t="shared" si="9"/>
        <v>12664691371.283077</v>
      </c>
      <c r="F77" s="10">
        <f t="shared" si="7"/>
        <v>1266469137.1283078</v>
      </c>
      <c r="G77" s="11">
        <f t="shared" si="8"/>
        <v>4237200</v>
      </c>
      <c r="H77" s="10">
        <f t="shared" si="10"/>
        <v>13926923308.411385</v>
      </c>
      <c r="I77" s="11">
        <f t="shared" si="11"/>
        <v>353100</v>
      </c>
    </row>
    <row r="78" spans="4:9" x14ac:dyDescent="0.3">
      <c r="D78" s="2">
        <v>72</v>
      </c>
      <c r="E78" s="10">
        <f t="shared" si="9"/>
        <v>13926923308.411385</v>
      </c>
      <c r="F78" s="10">
        <f t="shared" si="7"/>
        <v>1392692330.8411384</v>
      </c>
      <c r="G78" s="11">
        <f t="shared" si="8"/>
        <v>4237200</v>
      </c>
      <c r="H78" s="10">
        <f t="shared" si="10"/>
        <v>15315378439.252523</v>
      </c>
      <c r="I78" s="11">
        <f t="shared" si="11"/>
        <v>353100</v>
      </c>
    </row>
    <row r="79" spans="4:9" x14ac:dyDescent="0.3">
      <c r="D79" s="2">
        <v>73</v>
      </c>
      <c r="E79" s="10">
        <f t="shared" si="9"/>
        <v>15315378439.252523</v>
      </c>
      <c r="F79" s="10">
        <f t="shared" si="7"/>
        <v>1531537843.9252524</v>
      </c>
      <c r="G79" s="11">
        <f t="shared" si="8"/>
        <v>4237200</v>
      </c>
      <c r="H79" s="10">
        <f t="shared" si="10"/>
        <v>16842679083.177776</v>
      </c>
      <c r="I79" s="11">
        <f t="shared" si="11"/>
        <v>353100</v>
      </c>
    </row>
    <row r="80" spans="4:9" x14ac:dyDescent="0.3">
      <c r="D80" s="2">
        <v>74</v>
      </c>
      <c r="E80" s="10">
        <f t="shared" si="9"/>
        <v>16842679083.177776</v>
      </c>
      <c r="F80" s="10">
        <f t="shared" si="7"/>
        <v>1684267908.3177776</v>
      </c>
      <c r="G80" s="11">
        <f t="shared" si="8"/>
        <v>4237200</v>
      </c>
      <c r="H80" s="10">
        <f t="shared" si="10"/>
        <v>18522709791.495552</v>
      </c>
      <c r="I80" s="11">
        <f t="shared" si="11"/>
        <v>353100</v>
      </c>
    </row>
    <row r="81" spans="4:9" x14ac:dyDescent="0.3">
      <c r="D81" s="2">
        <v>75</v>
      </c>
      <c r="E81" s="10">
        <f t="shared" si="9"/>
        <v>18522709791.495552</v>
      </c>
      <c r="F81" s="10">
        <f t="shared" si="7"/>
        <v>1852270979.149555</v>
      </c>
      <c r="G81" s="11">
        <f t="shared" si="8"/>
        <v>4237200</v>
      </c>
      <c r="H81" s="10">
        <f t="shared" si="10"/>
        <v>20370743570.645107</v>
      </c>
      <c r="I81" s="11">
        <f t="shared" si="11"/>
        <v>353100</v>
      </c>
    </row>
    <row r="82" spans="4:9" x14ac:dyDescent="0.3">
      <c r="D82" s="2">
        <v>76</v>
      </c>
      <c r="E82" s="10">
        <f t="shared" si="9"/>
        <v>20370743570.645107</v>
      </c>
      <c r="F82" s="10">
        <f t="shared" si="7"/>
        <v>2037074357.0645108</v>
      </c>
      <c r="G82" s="11">
        <f t="shared" si="8"/>
        <v>4494000</v>
      </c>
      <c r="H82" s="10">
        <f t="shared" si="10"/>
        <v>22403323927.709618</v>
      </c>
      <c r="I82" s="11">
        <f t="shared" si="11"/>
        <v>374500</v>
      </c>
    </row>
    <row r="83" spans="4:9" x14ac:dyDescent="0.3">
      <c r="D83" s="2">
        <v>77</v>
      </c>
      <c r="E83" s="10">
        <f t="shared" si="9"/>
        <v>22403323927.709618</v>
      </c>
      <c r="F83" s="10">
        <f t="shared" si="7"/>
        <v>2240332392.7709618</v>
      </c>
      <c r="G83" s="11">
        <f t="shared" si="8"/>
        <v>4494000</v>
      </c>
      <c r="H83" s="10">
        <f t="shared" si="10"/>
        <v>24639162320.480579</v>
      </c>
      <c r="I83" s="11">
        <f t="shared" si="11"/>
        <v>374500</v>
      </c>
    </row>
    <row r="84" spans="4:9" x14ac:dyDescent="0.3">
      <c r="D84" s="2">
        <v>78</v>
      </c>
      <c r="E84" s="10">
        <f t="shared" si="9"/>
        <v>24639162320.480579</v>
      </c>
      <c r="F84" s="10">
        <f t="shared" si="7"/>
        <v>2463916232.048058</v>
      </c>
      <c r="G84" s="11">
        <f t="shared" si="8"/>
        <v>4494000</v>
      </c>
      <c r="H84" s="10">
        <f t="shared" si="10"/>
        <v>27098584552.528637</v>
      </c>
      <c r="I84" s="11">
        <f t="shared" si="11"/>
        <v>374500</v>
      </c>
    </row>
    <row r="85" spans="4:9" x14ac:dyDescent="0.3">
      <c r="D85" s="2">
        <v>79</v>
      </c>
      <c r="E85" s="10">
        <f t="shared" si="9"/>
        <v>27098584552.528637</v>
      </c>
      <c r="F85" s="10">
        <f t="shared" si="7"/>
        <v>2709858455.2528639</v>
      </c>
      <c r="G85" s="11">
        <f t="shared" si="8"/>
        <v>4494000</v>
      </c>
      <c r="H85" s="10">
        <f t="shared" si="10"/>
        <v>29803949007.781502</v>
      </c>
      <c r="I85" s="11">
        <f t="shared" si="11"/>
        <v>374500</v>
      </c>
    </row>
    <row r="86" spans="4:9" x14ac:dyDescent="0.3">
      <c r="D86" s="2">
        <v>80</v>
      </c>
      <c r="E86" s="10">
        <f t="shared" si="9"/>
        <v>29803949007.781502</v>
      </c>
      <c r="F86" s="10">
        <f t="shared" si="7"/>
        <v>2980394900.7781501</v>
      </c>
      <c r="G86" s="11">
        <f t="shared" si="8"/>
        <v>4494000</v>
      </c>
      <c r="H86" s="10">
        <f t="shared" si="10"/>
        <v>32779849908.55965</v>
      </c>
      <c r="I86" s="11">
        <f t="shared" si="11"/>
        <v>374500</v>
      </c>
    </row>
    <row r="87" spans="4:9" x14ac:dyDescent="0.3">
      <c r="D87" s="2">
        <v>81</v>
      </c>
      <c r="E87" s="10">
        <f t="shared" si="9"/>
        <v>32779849908.55965</v>
      </c>
      <c r="F87" s="10">
        <f t="shared" si="7"/>
        <v>3277984990.8559651</v>
      </c>
      <c r="G87" s="11">
        <f t="shared" si="8"/>
        <v>4750800</v>
      </c>
      <c r="H87" s="10">
        <f t="shared" si="10"/>
        <v>36053084099.415619</v>
      </c>
      <c r="I87" s="11">
        <f t="shared" si="11"/>
        <v>395900</v>
      </c>
    </row>
    <row r="88" spans="4:9" x14ac:dyDescent="0.3">
      <c r="D88" s="2">
        <v>82</v>
      </c>
      <c r="E88" s="10">
        <f t="shared" si="9"/>
        <v>36053084099.415619</v>
      </c>
      <c r="F88" s="10">
        <f t="shared" si="7"/>
        <v>3605308409.9415617</v>
      </c>
      <c r="G88" s="11">
        <f t="shared" si="8"/>
        <v>4750800</v>
      </c>
      <c r="H88" s="10">
        <f t="shared" si="10"/>
        <v>39653641709.357178</v>
      </c>
      <c r="I88" s="11">
        <f t="shared" si="11"/>
        <v>395900</v>
      </c>
    </row>
    <row r="89" spans="4:9" x14ac:dyDescent="0.3">
      <c r="D89" s="2">
        <v>83</v>
      </c>
      <c r="E89" s="10">
        <f t="shared" si="9"/>
        <v>39653641709.357178</v>
      </c>
      <c r="F89" s="10">
        <f t="shared" si="7"/>
        <v>3965364170.9357176</v>
      </c>
      <c r="G89" s="11">
        <f t="shared" si="8"/>
        <v>4750800</v>
      </c>
      <c r="H89" s="10">
        <f t="shared" si="10"/>
        <v>43614255080.292892</v>
      </c>
      <c r="I89" s="11">
        <f t="shared" si="11"/>
        <v>395900</v>
      </c>
    </row>
    <row r="90" spans="4:9" x14ac:dyDescent="0.3">
      <c r="D90" s="2">
        <v>84</v>
      </c>
      <c r="E90" s="10">
        <f t="shared" si="9"/>
        <v>43614255080.292892</v>
      </c>
      <c r="F90" s="10">
        <f t="shared" si="7"/>
        <v>4361425508.0292892</v>
      </c>
      <c r="G90" s="11">
        <f t="shared" si="8"/>
        <v>4750800</v>
      </c>
      <c r="H90" s="10">
        <f t="shared" si="10"/>
        <v>47970929788.322182</v>
      </c>
      <c r="I90" s="11">
        <f t="shared" si="11"/>
        <v>395900</v>
      </c>
    </row>
    <row r="91" spans="4:9" x14ac:dyDescent="0.3">
      <c r="D91" s="2">
        <v>85</v>
      </c>
      <c r="E91" s="10">
        <f t="shared" si="9"/>
        <v>47970929788.322182</v>
      </c>
      <c r="F91" s="10">
        <f t="shared" si="7"/>
        <v>4797092978.8322182</v>
      </c>
      <c r="G91" s="11">
        <f t="shared" si="8"/>
        <v>4750800</v>
      </c>
      <c r="H91" s="10">
        <f t="shared" si="10"/>
        <v>52763271967.154404</v>
      </c>
      <c r="I91" s="11">
        <f t="shared" si="11"/>
        <v>395900</v>
      </c>
    </row>
    <row r="92" spans="4:9" x14ac:dyDescent="0.3">
      <c r="D92" s="2">
        <v>86</v>
      </c>
      <c r="E92" s="10">
        <f t="shared" si="9"/>
        <v>52763271967.154404</v>
      </c>
      <c r="F92" s="10">
        <f t="shared" si="7"/>
        <v>5276327196.7154408</v>
      </c>
      <c r="G92" s="11">
        <f t="shared" si="8"/>
        <v>5007600.0000000009</v>
      </c>
      <c r="H92" s="10">
        <f t="shared" si="10"/>
        <v>58034591563.869843</v>
      </c>
      <c r="I92" s="11">
        <f t="shared" si="11"/>
        <v>417300.00000000006</v>
      </c>
    </row>
    <row r="93" spans="4:9" x14ac:dyDescent="0.3">
      <c r="D93" s="2">
        <v>87</v>
      </c>
      <c r="E93" s="10">
        <f t="shared" si="9"/>
        <v>58034591563.869843</v>
      </c>
      <c r="F93" s="10">
        <f t="shared" si="7"/>
        <v>5803459156.3869848</v>
      </c>
      <c r="G93" s="11">
        <f t="shared" si="8"/>
        <v>5007600.0000000009</v>
      </c>
      <c r="H93" s="10">
        <f t="shared" si="10"/>
        <v>63833043120.256828</v>
      </c>
      <c r="I93" s="11">
        <f t="shared" si="11"/>
        <v>417300.00000000006</v>
      </c>
    </row>
    <row r="94" spans="4:9" x14ac:dyDescent="0.3">
      <c r="D94" s="2">
        <v>88</v>
      </c>
      <c r="E94" s="10">
        <f t="shared" si="9"/>
        <v>63833043120.256828</v>
      </c>
      <c r="F94" s="10">
        <f t="shared" si="7"/>
        <v>6383304312.0256824</v>
      </c>
      <c r="G94" s="11">
        <f t="shared" si="8"/>
        <v>5007600.0000000009</v>
      </c>
      <c r="H94" s="10">
        <f t="shared" si="10"/>
        <v>70211339832.282516</v>
      </c>
      <c r="I94" s="11">
        <f t="shared" si="11"/>
        <v>417300.00000000006</v>
      </c>
    </row>
    <row r="95" spans="4:9" x14ac:dyDescent="0.3">
      <c r="D95" s="2">
        <v>89</v>
      </c>
      <c r="E95" s="10">
        <f t="shared" si="9"/>
        <v>70211339832.282516</v>
      </c>
      <c r="F95" s="10">
        <f t="shared" si="7"/>
        <v>7021133983.2282524</v>
      </c>
      <c r="G95" s="11">
        <f t="shared" si="8"/>
        <v>5007600.0000000009</v>
      </c>
      <c r="H95" s="10">
        <f t="shared" si="10"/>
        <v>77227466215.510773</v>
      </c>
      <c r="I95" s="11">
        <f t="shared" si="11"/>
        <v>417300.00000000006</v>
      </c>
    </row>
    <row r="96" spans="4:9" x14ac:dyDescent="0.3">
      <c r="D96" s="2">
        <v>90</v>
      </c>
      <c r="E96" s="10">
        <f t="shared" si="9"/>
        <v>77227466215.510773</v>
      </c>
      <c r="F96" s="10">
        <f t="shared" si="7"/>
        <v>7722746621.5510769</v>
      </c>
      <c r="G96" s="11">
        <f t="shared" si="8"/>
        <v>5007600.0000000009</v>
      </c>
      <c r="H96" s="10">
        <f t="shared" si="10"/>
        <v>84945205237.061844</v>
      </c>
      <c r="I96" s="11">
        <f t="shared" si="11"/>
        <v>417300.00000000006</v>
      </c>
    </row>
    <row r="97" spans="4:9" x14ac:dyDescent="0.3">
      <c r="D97" s="2">
        <v>91</v>
      </c>
      <c r="E97" s="10">
        <f t="shared" si="9"/>
        <v>84945205237.061844</v>
      </c>
      <c r="F97" s="10">
        <f t="shared" si="7"/>
        <v>8494520523.7061844</v>
      </c>
      <c r="G97" s="11">
        <f t="shared" si="8"/>
        <v>5264399.9999999991</v>
      </c>
      <c r="H97" s="10">
        <f t="shared" si="10"/>
        <v>93434461360.768036</v>
      </c>
      <c r="I97" s="11">
        <f t="shared" si="11"/>
        <v>438699.99999999994</v>
      </c>
    </row>
    <row r="98" spans="4:9" x14ac:dyDescent="0.3">
      <c r="D98" s="2">
        <v>92</v>
      </c>
      <c r="E98" s="10">
        <f t="shared" si="9"/>
        <v>93434461360.768036</v>
      </c>
      <c r="F98" s="10">
        <f t="shared" si="7"/>
        <v>9343446136.0768051</v>
      </c>
      <c r="G98" s="11">
        <f t="shared" si="8"/>
        <v>5264399.9999999991</v>
      </c>
      <c r="H98" s="10">
        <f t="shared" si="10"/>
        <v>102772643096.84485</v>
      </c>
      <c r="I98" s="11">
        <f t="shared" si="11"/>
        <v>438699.99999999994</v>
      </c>
    </row>
    <row r="99" spans="4:9" x14ac:dyDescent="0.3">
      <c r="D99" s="2">
        <v>93</v>
      </c>
      <c r="E99" s="10">
        <f t="shared" si="9"/>
        <v>102772643096.84485</v>
      </c>
      <c r="F99" s="10">
        <f t="shared" si="7"/>
        <v>10277264309.684484</v>
      </c>
      <c r="G99" s="11">
        <f t="shared" si="8"/>
        <v>5264399.9999999991</v>
      </c>
      <c r="H99" s="10">
        <f t="shared" si="10"/>
        <v>113044643006.52933</v>
      </c>
      <c r="I99" s="11">
        <f t="shared" si="11"/>
        <v>438699.99999999994</v>
      </c>
    </row>
    <row r="100" spans="4:9" x14ac:dyDescent="0.3">
      <c r="D100" s="2">
        <v>94</v>
      </c>
      <c r="E100" s="10">
        <f t="shared" si="9"/>
        <v>113044643006.52933</v>
      </c>
      <c r="F100" s="10">
        <f t="shared" si="7"/>
        <v>11304464300.652931</v>
      </c>
      <c r="G100" s="11">
        <f t="shared" si="8"/>
        <v>5264399.9999999991</v>
      </c>
      <c r="H100" s="10">
        <f t="shared" si="10"/>
        <v>124343842907.18225</v>
      </c>
      <c r="I100" s="11">
        <f t="shared" si="11"/>
        <v>438699.99999999994</v>
      </c>
    </row>
    <row r="101" spans="4:9" x14ac:dyDescent="0.3">
      <c r="D101" s="2">
        <v>95</v>
      </c>
      <c r="E101" s="10">
        <f t="shared" si="9"/>
        <v>124343842907.18225</v>
      </c>
      <c r="F101" s="10">
        <f t="shared" si="7"/>
        <v>12434384290.718225</v>
      </c>
      <c r="G101" s="11">
        <f t="shared" si="8"/>
        <v>5264399.9999999991</v>
      </c>
      <c r="H101" s="10">
        <f t="shared" si="10"/>
        <v>136772962797.90048</v>
      </c>
      <c r="I101" s="11">
        <f t="shared" si="11"/>
        <v>438699.99999999994</v>
      </c>
    </row>
    <row r="102" spans="4:9" x14ac:dyDescent="0.3">
      <c r="D102" s="2">
        <v>96</v>
      </c>
      <c r="E102" s="10">
        <f t="shared" si="9"/>
        <v>136772962797.90048</v>
      </c>
      <c r="F102" s="10">
        <f t="shared" si="7"/>
        <v>13677296279.790049</v>
      </c>
      <c r="G102" s="11">
        <f t="shared" si="8"/>
        <v>5521200.0000000009</v>
      </c>
      <c r="H102" s="10">
        <f t="shared" si="10"/>
        <v>150444737877.69052</v>
      </c>
      <c r="I102" s="11">
        <f t="shared" si="11"/>
        <v>460100.00000000006</v>
      </c>
    </row>
    <row r="103" spans="4:9" x14ac:dyDescent="0.3">
      <c r="D103" s="2">
        <v>97</v>
      </c>
      <c r="E103" s="10">
        <f t="shared" si="9"/>
        <v>150444737877.69052</v>
      </c>
      <c r="F103" s="10">
        <f>(E103*$B$8)/100</f>
        <v>15044473787.769053</v>
      </c>
      <c r="G103" s="11">
        <f t="shared" si="8"/>
        <v>5521200.0000000009</v>
      </c>
      <c r="H103" s="10">
        <f t="shared" si="10"/>
        <v>165483690465.45956</v>
      </c>
      <c r="I103" s="11">
        <f t="shared" si="11"/>
        <v>460100.00000000006</v>
      </c>
    </row>
    <row r="104" spans="4:9" x14ac:dyDescent="0.3">
      <c r="D104" s="2">
        <v>98</v>
      </c>
      <c r="E104" s="10">
        <f t="shared" si="9"/>
        <v>165483690465.45956</v>
      </c>
      <c r="F104" s="10">
        <f>(E104*$B$8)/100</f>
        <v>16548369046.545958</v>
      </c>
      <c r="G104" s="11">
        <f t="shared" si="8"/>
        <v>5521200.0000000009</v>
      </c>
      <c r="H104" s="10">
        <f t="shared" si="10"/>
        <v>182026538312.00552</v>
      </c>
      <c r="I104" s="11">
        <f t="shared" si="11"/>
        <v>460100.00000000006</v>
      </c>
    </row>
    <row r="105" spans="4:9" x14ac:dyDescent="0.3">
      <c r="D105" s="2">
        <v>99</v>
      </c>
      <c r="E105" s="10">
        <f t="shared" si="9"/>
        <v>182026538312.00552</v>
      </c>
      <c r="F105" s="10">
        <f>(E105*$B$8)/100</f>
        <v>18202653831.20055</v>
      </c>
      <c r="G105" s="11">
        <f t="shared" si="8"/>
        <v>5521200.0000000009</v>
      </c>
      <c r="H105" s="10">
        <f t="shared" si="10"/>
        <v>200223670943.20609</v>
      </c>
      <c r="I105" s="11">
        <f t="shared" si="11"/>
        <v>460100.00000000006</v>
      </c>
    </row>
    <row r="106" spans="4:9" x14ac:dyDescent="0.3">
      <c r="D106" s="2">
        <v>100</v>
      </c>
      <c r="E106" s="10">
        <f t="shared" si="9"/>
        <v>200223670943.20609</v>
      </c>
      <c r="F106" s="10">
        <f>(E106*$B$8)/100</f>
        <v>20022367094.320606</v>
      </c>
      <c r="G106" s="11">
        <f t="shared" si="8"/>
        <v>5521200.0000000009</v>
      </c>
      <c r="H106" s="10">
        <f t="shared" si="10"/>
        <v>220240516837.5267</v>
      </c>
      <c r="I106" s="11">
        <f t="shared" si="11"/>
        <v>460100.00000000006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 h m</dc:creator>
  <cp:lastModifiedBy>varun h m</cp:lastModifiedBy>
  <dcterms:created xsi:type="dcterms:W3CDTF">2025-07-23T09:28:50Z</dcterms:created>
  <dcterms:modified xsi:type="dcterms:W3CDTF">2025-08-11T11:08:11Z</dcterms:modified>
</cp:coreProperties>
</file>